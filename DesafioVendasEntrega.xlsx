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PowerBI\"/>
    </mc:Choice>
  </mc:AlternateContent>
  <xr:revisionPtr revIDLastSave="0" documentId="8_{F5877D86-F674-4060-B58A-3128CA2AD29B}" xr6:coauthVersionLast="47" xr6:coauthVersionMax="47" xr10:uidLastSave="{00000000-0000-0000-0000-000000000000}"/>
  <bookViews>
    <workbookView xWindow="-120" yWindow="-120" windowWidth="29040" windowHeight="16440" firstSheet="2" activeTab="2" xr2:uid="{DF1D255C-28BC-4C25-8F72-C62BC01831AE}"/>
  </bookViews>
  <sheets>
    <sheet name="Base" sheetId="1" state="hidden" r:id="rId1"/>
    <sheet name="Cálculos" sheetId="3" state="hidden" r:id="rId2"/>
    <sheet name="Dashboard" sheetId="2" r:id="rId3"/>
  </sheets>
  <definedNames>
    <definedName name="Base">Dados[]</definedName>
    <definedName name="BaseVendas">Dados[]</definedName>
    <definedName name="NativeTimeline_Data">#N/A</definedName>
  </definedNames>
  <calcPr calcId="191029"/>
  <pivotCaches>
    <pivotCache cacheId="2" r:id="rId4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" l="1"/>
  <c r="B4" i="3"/>
  <c r="B3" i="3"/>
  <c r="B2" i="3"/>
  <c r="B1" i="3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M2" i="1"/>
  <c r="O2" i="1" s="1"/>
  <c r="M3" i="1"/>
  <c r="O3" i="1" s="1"/>
  <c r="M4" i="1"/>
  <c r="O4" i="1" s="1"/>
  <c r="M5" i="1"/>
  <c r="O5" i="1" s="1"/>
  <c r="M6" i="1"/>
  <c r="O6" i="1" s="1"/>
  <c r="M7" i="1"/>
  <c r="O7" i="1" s="1"/>
  <c r="M8" i="1"/>
  <c r="O8" i="1" s="1"/>
  <c r="M9" i="1"/>
  <c r="O9" i="1" s="1"/>
  <c r="M10" i="1"/>
  <c r="O10" i="1" s="1"/>
  <c r="M11" i="1"/>
  <c r="O11" i="1" s="1"/>
  <c r="M12" i="1"/>
  <c r="O12" i="1" s="1"/>
  <c r="M13" i="1"/>
  <c r="O13" i="1" s="1"/>
  <c r="M14" i="1"/>
  <c r="O14" i="1" s="1"/>
  <c r="M15" i="1"/>
  <c r="O15" i="1" s="1"/>
  <c r="M16" i="1"/>
  <c r="O16" i="1" s="1"/>
  <c r="M17" i="1"/>
  <c r="O17" i="1" s="1"/>
  <c r="M18" i="1"/>
  <c r="O18" i="1" s="1"/>
  <c r="M19" i="1"/>
  <c r="O19" i="1" s="1"/>
  <c r="M20" i="1"/>
  <c r="O20" i="1" s="1"/>
  <c r="M21" i="1"/>
  <c r="O21" i="1" s="1"/>
</calcChain>
</file>

<file path=xl/sharedStrings.xml><?xml version="1.0" encoding="utf-8"?>
<sst xmlns="http://schemas.openxmlformats.org/spreadsheetml/2006/main" count="240" uniqueCount="73">
  <si>
    <t>Order_ID</t>
  </si>
  <si>
    <t>Data</t>
  </si>
  <si>
    <t>Região</t>
  </si>
  <si>
    <t>País</t>
  </si>
  <si>
    <t>Plataforma</t>
  </si>
  <si>
    <t>Categoria</t>
  </si>
  <si>
    <t>Produto</t>
  </si>
  <si>
    <t>Tipo_Produto</t>
  </si>
  <si>
    <t>Quantidade</t>
  </si>
  <si>
    <t>Preco_Unitario</t>
  </si>
  <si>
    <t>Custo_Unitario</t>
  </si>
  <si>
    <t>Metodo_Pagamento</t>
  </si>
  <si>
    <t>América do Norte</t>
  </si>
  <si>
    <t>Estados Unidos</t>
  </si>
  <si>
    <t>PC</t>
  </si>
  <si>
    <t>RPG</t>
  </si>
  <si>
    <t>Legends of Ether</t>
  </si>
  <si>
    <t>Jogo</t>
  </si>
  <si>
    <t>Cartão de Crédito</t>
  </si>
  <si>
    <t>Europa</t>
  </si>
  <si>
    <t>Alemanha</t>
  </si>
  <si>
    <t>Console</t>
  </si>
  <si>
    <t>FPS</t>
  </si>
  <si>
    <t>WarZone X</t>
  </si>
  <si>
    <t>PayPal</t>
  </si>
  <si>
    <t>América do Sul</t>
  </si>
  <si>
    <t>Brasil</t>
  </si>
  <si>
    <t>Mobile</t>
  </si>
  <si>
    <t>Aventura</t>
  </si>
  <si>
    <t>Jungle Quest</t>
  </si>
  <si>
    <t>Pix</t>
  </si>
  <si>
    <t>França</t>
  </si>
  <si>
    <t>Legends of Ether DLC</t>
  </si>
  <si>
    <t>DLC</t>
  </si>
  <si>
    <t>Ásia</t>
  </si>
  <si>
    <t>Japão</t>
  </si>
  <si>
    <t>Esporte</t>
  </si>
  <si>
    <t>Pro Soccer 2025</t>
  </si>
  <si>
    <t>Canadá</t>
  </si>
  <si>
    <t>WarZone X DLC</t>
  </si>
  <si>
    <t>Assinatura</t>
  </si>
  <si>
    <t>GameSphere Premium</t>
  </si>
  <si>
    <t>Reino Unido</t>
  </si>
  <si>
    <t>Coreia do Sul</t>
  </si>
  <si>
    <t>Argentina</t>
  </si>
  <si>
    <t>Receita</t>
  </si>
  <si>
    <t>Custo_Total</t>
  </si>
  <si>
    <t>Lucro</t>
  </si>
  <si>
    <t>Margem</t>
  </si>
  <si>
    <t>Faturamento Total</t>
  </si>
  <si>
    <t>Lucro Total</t>
  </si>
  <si>
    <t>Margem de Lucro</t>
  </si>
  <si>
    <t>Rótulos de Linha</t>
  </si>
  <si>
    <t>Total Geral</t>
  </si>
  <si>
    <t>jan</t>
  </si>
  <si>
    <t>fev</t>
  </si>
  <si>
    <t>Soma de Receita</t>
  </si>
  <si>
    <t>Soma de Quantidade</t>
  </si>
  <si>
    <t>Top 5 Jogos Mais Vendidos</t>
  </si>
  <si>
    <t>Quais Jogos Geram Mais Lucro</t>
  </si>
  <si>
    <t>Soma de Lucro</t>
  </si>
  <si>
    <t>Qual categoria vende mais?</t>
  </si>
  <si>
    <t>Qual região mais compra?</t>
  </si>
  <si>
    <t>Qual região gera mais lucro?</t>
  </si>
  <si>
    <t>Existe região com alta venda mas baixa margem?</t>
  </si>
  <si>
    <t>PC, Console ou Mobile vende mais?</t>
  </si>
  <si>
    <t>Qual método de pagamento é mais usado?</t>
  </si>
  <si>
    <t>Contagem de Order_ID</t>
  </si>
  <si>
    <t>Assinatura premium está crescendo?</t>
  </si>
  <si>
    <t>Se Fevereiro &gt; Janeiro → está crescendo.</t>
  </si>
  <si>
    <t>GameSphere Studios</t>
  </si>
  <si>
    <t>Total Pedidos</t>
  </si>
  <si>
    <t>Total em Quantidade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</si>
</sst>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R$&quot;\ #,##0.00"/>
    <numFmt numFmtId="165" formatCode="_-[$R$-416]\ * #,##0.00_-;\-[$R$-416]\ * #,##0.00_-;_-[$R$-416]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20"/>
      <color theme="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20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2" fontId="0" fillId="0" borderId="0" xfId="0" applyNumberFormat="1"/>
    <xf numFmtId="1" fontId="0" fillId="0" borderId="0" xfId="0" applyNumberFormat="1" applyAlignment="1">
      <alignment horizontal="left"/>
    </xf>
    <xf numFmtId="1" fontId="0" fillId="0" borderId="0" xfId="0" applyNumberFormat="1"/>
    <xf numFmtId="165" fontId="0" fillId="0" borderId="0" xfId="0" applyNumberFormat="1" applyAlignment="1">
      <alignment horizontal="left"/>
    </xf>
    <xf numFmtId="164" fontId="0" fillId="0" borderId="0" xfId="0" applyNumberFormat="1"/>
    <xf numFmtId="9" fontId="0" fillId="0" borderId="0" xfId="1" applyFont="1"/>
    <xf numFmtId="0" fontId="0" fillId="0" borderId="0" xfId="0" pivotButton="1"/>
    <xf numFmtId="0" fontId="0" fillId="0" borderId="0" xfId="0" applyBorder="1"/>
    <xf numFmtId="164" fontId="0" fillId="0" borderId="0" xfId="0" applyNumberFormat="1" applyBorder="1"/>
    <xf numFmtId="0" fontId="0" fillId="2" borderId="0" xfId="0" applyFill="1" applyBorder="1"/>
    <xf numFmtId="0" fontId="3" fillId="0" borderId="1" xfId="2" applyFont="1"/>
    <xf numFmtId="0" fontId="0" fillId="2" borderId="0" xfId="0" applyFill="1"/>
    <xf numFmtId="0" fontId="0" fillId="0" borderId="0" xfId="0" applyNumberFormat="1"/>
    <xf numFmtId="164" fontId="0" fillId="3" borderId="0" xfId="0" applyNumberFormat="1" applyFill="1"/>
    <xf numFmtId="0" fontId="0" fillId="3" borderId="0" xfId="0" applyFill="1"/>
    <xf numFmtId="0" fontId="0" fillId="3" borderId="0" xfId="0" applyFill="1" applyAlignment="1">
      <alignment horizontal="left"/>
    </xf>
  </cellXfs>
  <cellStyles count="3">
    <cellStyle name="Normal" xfId="0" builtinId="0"/>
    <cellStyle name="Porcentagem" xfId="1" builtinId="5"/>
    <cellStyle name="Título 1" xfId="2" builtinId="16"/>
  </cellStyles>
  <dxfs count="18">
    <dxf>
      <numFmt numFmtId="164" formatCode="&quot;R$&quot;\ #,##0.00"/>
      <alignment horizontal="left" vertical="bottom" textRotation="0" wrapText="0" indent="0" justifyLastLine="0" shrinkToFit="0" readingOrder="0"/>
    </dxf>
    <dxf>
      <numFmt numFmtId="164" formatCode="&quot;R$&quot;\ #,##0.00"/>
      <alignment horizontal="left" vertical="bottom" textRotation="0" wrapText="0" indent="0" justifyLastLine="0" shrinkToFit="0" readingOrder="0"/>
    </dxf>
    <dxf>
      <numFmt numFmtId="164" formatCode="&quot;R$&quot;\ #,##0.00"/>
      <alignment horizontal="left" vertical="bottom" textRotation="0" wrapText="0" indent="0" justifyLastLine="0" shrinkToFit="0" readingOrder="0"/>
    </dxf>
    <dxf>
      <numFmt numFmtId="164" formatCode="&quot;R$&quot;\ #,##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&quot;R$&quot;\ #,##0.00"/>
      <alignment horizontal="left" vertical="bottom" textRotation="0" wrapText="0" indent="0" justifyLastLine="0" shrinkToFit="0" readingOrder="0"/>
    </dxf>
    <dxf>
      <numFmt numFmtId="164" formatCode="&quot;R$&quot;\ #,##0.0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1" defaultTableStyle="TableStyleMedium2" defaultPivotStyle="PivotStyleLight16">
    <tableStyle name="BaseVendas" table="0" count="0" xr9:uid="{3B84D395-40AC-44D0-86D2-A04879C6448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microsoft.com/office/2011/relationships/timelineCache" Target="timelineCaches/timelineCach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[DesafioVendasEntrega.xlsx]Cálculos!Lucro x Jogos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Jogos que geram mais lucro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51843179717737"/>
          <c:y val="0.18880945301482824"/>
          <c:w val="0.84815681823555844"/>
          <c:h val="0.81119055118110239"/>
        </c:manualLayout>
      </c:layout>
      <c:bar3DChart>
        <c:barDir val="bar"/>
        <c:grouping val="stacked"/>
        <c:varyColors val="0"/>
        <c:ser>
          <c:idx val="0"/>
          <c:order val="0"/>
          <c:tx>
            <c:strRef>
              <c:f>Cálculos!$F$2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Cálculos!$E$3:$E$6</c:f>
              <c:strCache>
                <c:ptCount val="3"/>
                <c:pt idx="0">
                  <c:v>Pro Soccer 2025</c:v>
                </c:pt>
                <c:pt idx="1">
                  <c:v>Legends of Ether</c:v>
                </c:pt>
                <c:pt idx="2">
                  <c:v>WarZone X</c:v>
                </c:pt>
              </c:strCache>
            </c:strRef>
          </c:cat>
          <c:val>
            <c:numRef>
              <c:f>Cálculos!$F$3:$F$6</c:f>
              <c:numCache>
                <c:formatCode>"R$"\ #,##0.00</c:formatCode>
                <c:ptCount val="3"/>
                <c:pt idx="0">
                  <c:v>311.90999999999997</c:v>
                </c:pt>
                <c:pt idx="1">
                  <c:v>369.87</c:v>
                </c:pt>
                <c:pt idx="2">
                  <c:v>430.87999999999994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EA-4031-86DF-5A5C37614AA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1973943712"/>
        <c:axId val="1973944672"/>
        <c:axId val="0"/>
      </c:bar3DChart>
      <c:catAx>
        <c:axId val="197394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73944672"/>
        <c:crosses val="autoZero"/>
        <c:auto val="1"/>
        <c:lblAlgn val="ctr"/>
        <c:lblOffset val="100"/>
        <c:noMultiLvlLbl val="0"/>
      </c:catAx>
      <c:valAx>
        <c:axId val="1973944672"/>
        <c:scaling>
          <c:orientation val="minMax"/>
        </c:scaling>
        <c:delete val="1"/>
        <c:axPos val="b"/>
        <c:numFmt formatCode="&quot;R$&quot;\ #,##0.00" sourceLinked="1"/>
        <c:majorTickMark val="out"/>
        <c:minorTickMark val="none"/>
        <c:tickLblPos val="nextTo"/>
        <c:crossAx val="1973943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[DesafioVendasEntrega.xlsx]Cálculos!Top 5 jogos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Top 5 Jogos mais vendidos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2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Cálculos!$B$14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Cálculos!$A$15:$A$20</c:f>
              <c:strCache>
                <c:ptCount val="5"/>
                <c:pt idx="0">
                  <c:v>Pro Soccer 2025</c:v>
                </c:pt>
                <c:pt idx="1">
                  <c:v>WarZone X</c:v>
                </c:pt>
                <c:pt idx="2">
                  <c:v>Legends of Ether</c:v>
                </c:pt>
                <c:pt idx="3">
                  <c:v>Jungle Quest</c:v>
                </c:pt>
                <c:pt idx="4">
                  <c:v>GameSphere Premium</c:v>
                </c:pt>
              </c:strCache>
            </c:strRef>
          </c:cat>
          <c:val>
            <c:numRef>
              <c:f>Cálculos!$B$15:$B$20</c:f>
              <c:numCache>
                <c:formatCode>0</c:formatCode>
                <c:ptCount val="5"/>
                <c:pt idx="0">
                  <c:v>9</c:v>
                </c:pt>
                <c:pt idx="1">
                  <c:v>12</c:v>
                </c:pt>
                <c:pt idx="2">
                  <c:v>13</c:v>
                </c:pt>
                <c:pt idx="3">
                  <c:v>17</c:v>
                </c:pt>
                <c:pt idx="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22-48C4-A344-3083FE066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08306352"/>
        <c:axId val="1008304912"/>
        <c:axId val="0"/>
      </c:bar3DChart>
      <c:catAx>
        <c:axId val="1008306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8304912"/>
        <c:crosses val="autoZero"/>
        <c:auto val="1"/>
        <c:lblAlgn val="ctr"/>
        <c:lblOffset val="100"/>
        <c:noMultiLvlLbl val="0"/>
      </c:catAx>
      <c:valAx>
        <c:axId val="1008304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8306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[DesafioVendasEntrega.xlsx]Cálculos!regioes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t-BR" sz="12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t-BR" sz="12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Lucro por Região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t-BR" sz="1200" b="1" i="0" u="none" strike="noStrike" kern="1200" cap="all" spc="12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Cálculos!$I$10</c:f>
              <c:strCache>
                <c:ptCount val="1"/>
                <c:pt idx="0">
                  <c:v>Soma de Receita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Cálculos!$H$11:$H$15</c:f>
              <c:strCache>
                <c:ptCount val="4"/>
                <c:pt idx="0">
                  <c:v>América do Norte</c:v>
                </c:pt>
                <c:pt idx="1">
                  <c:v>América do Sul</c:v>
                </c:pt>
                <c:pt idx="2">
                  <c:v>Ásia</c:v>
                </c:pt>
                <c:pt idx="3">
                  <c:v>Europa</c:v>
                </c:pt>
              </c:strCache>
            </c:strRef>
          </c:cat>
          <c:val>
            <c:numRef>
              <c:f>Cálculos!$I$11:$I$15</c:f>
              <c:numCache>
                <c:formatCode>"R$"\ #,##0.00</c:formatCode>
                <c:ptCount val="4"/>
                <c:pt idx="0">
                  <c:v>719.75</c:v>
                </c:pt>
                <c:pt idx="1">
                  <c:v>509.8</c:v>
                </c:pt>
                <c:pt idx="2">
                  <c:v>664.76</c:v>
                </c:pt>
                <c:pt idx="3">
                  <c:v>789.8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75-4359-8CBA-FEB61C5D6363}"/>
            </c:ext>
          </c:extLst>
        </c:ser>
        <c:ser>
          <c:idx val="1"/>
          <c:order val="1"/>
          <c:tx>
            <c:strRef>
              <c:f>Cálculos!$J$10</c:f>
              <c:strCache>
                <c:ptCount val="1"/>
                <c:pt idx="0">
                  <c:v>Soma de Lucro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Cálculos!$H$11:$H$15</c:f>
              <c:strCache>
                <c:ptCount val="4"/>
                <c:pt idx="0">
                  <c:v>América do Norte</c:v>
                </c:pt>
                <c:pt idx="1">
                  <c:v>América do Sul</c:v>
                </c:pt>
                <c:pt idx="2">
                  <c:v>Ásia</c:v>
                </c:pt>
                <c:pt idx="3">
                  <c:v>Europa</c:v>
                </c:pt>
              </c:strCache>
            </c:strRef>
          </c:cat>
          <c:val>
            <c:numRef>
              <c:f>Cálculos!$J$11:$J$15</c:f>
              <c:numCache>
                <c:formatCode>"R$"\ #,##0.00</c:formatCode>
                <c:ptCount val="4"/>
                <c:pt idx="0">
                  <c:v>452.74999999999994</c:v>
                </c:pt>
                <c:pt idx="1">
                  <c:v>338.8</c:v>
                </c:pt>
                <c:pt idx="2">
                  <c:v>410.76</c:v>
                </c:pt>
                <c:pt idx="3">
                  <c:v>480.8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75-4359-8CBA-FEB61C5D6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14782000"/>
        <c:axId val="1214779120"/>
        <c:axId val="0"/>
      </c:bar3DChart>
      <c:catAx>
        <c:axId val="121478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4779120"/>
        <c:crosses val="autoZero"/>
        <c:auto val="1"/>
        <c:lblAlgn val="ctr"/>
        <c:lblOffset val="100"/>
        <c:noMultiLvlLbl val="0"/>
      </c:catAx>
      <c:valAx>
        <c:axId val="121477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47820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[DesafioVendasEntrega.xlsx]Cálculos!Tabela dinâmica9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Método de pagamento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12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Cálculos!$I$26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Cálculos!$H$27:$H$30</c:f>
              <c:strCache>
                <c:ptCount val="3"/>
                <c:pt idx="0">
                  <c:v>Cartão de Crédito</c:v>
                </c:pt>
                <c:pt idx="1">
                  <c:v>PayPal</c:v>
                </c:pt>
                <c:pt idx="2">
                  <c:v>Pix</c:v>
                </c:pt>
              </c:strCache>
            </c:strRef>
          </c:cat>
          <c:val>
            <c:numRef>
              <c:f>Cálculos!$I$27:$I$30</c:f>
              <c:numCache>
                <c:formatCode>General</c:formatCode>
                <c:ptCount val="3"/>
                <c:pt idx="0">
                  <c:v>12</c:v>
                </c:pt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39-4C91-AA88-D3F3F8C1C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55199680"/>
        <c:axId val="955216000"/>
        <c:axId val="0"/>
      </c:bar3DChart>
      <c:catAx>
        <c:axId val="95519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5216000"/>
        <c:crosses val="autoZero"/>
        <c:auto val="1"/>
        <c:lblAlgn val="ctr"/>
        <c:lblOffset val="100"/>
        <c:noMultiLvlLbl val="0"/>
      </c:catAx>
      <c:valAx>
        <c:axId val="95521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5199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[DesafioVendasEntrega.xlsx]Cálculos!Tabela dinâmica8</c:name>
    <c:fmtId val="7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Cálculos!$I$18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44F6-4F45-8FE4-E3C6EE37F93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44F6-4F45-8FE4-E3C6EE37F93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44F6-4F45-8FE4-E3C6EE37F93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Cálculos!$H$19:$H$22</c:f>
              <c:strCache>
                <c:ptCount val="3"/>
                <c:pt idx="0">
                  <c:v>Console</c:v>
                </c:pt>
                <c:pt idx="1">
                  <c:v>PC</c:v>
                </c:pt>
                <c:pt idx="2">
                  <c:v>Mobile</c:v>
                </c:pt>
              </c:strCache>
            </c:strRef>
          </c:cat>
          <c:val>
            <c:numRef>
              <c:f>Cálculos!$I$19:$I$22</c:f>
              <c:numCache>
                <c:formatCode>"R$"\ #,##0.00</c:formatCode>
                <c:ptCount val="3"/>
                <c:pt idx="0">
                  <c:v>1139.83</c:v>
                </c:pt>
                <c:pt idx="1">
                  <c:v>979.68000000000006</c:v>
                </c:pt>
                <c:pt idx="2">
                  <c:v>564.59999999999991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4F6-4F45-8FE4-E3C6EE37F93C}"/>
            </c:ext>
          </c:extLst>
        </c:ser>
        <c:dLbls>
          <c:dLblPos val="outEnd"/>
          <c:showLegendKey val="0"/>
          <c:showVal val="1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30</xdr:row>
      <xdr:rowOff>0</xdr:rowOff>
    </xdr:from>
    <xdr:to>
      <xdr:col>2</xdr:col>
      <xdr:colOff>858853</xdr:colOff>
      <xdr:row>31</xdr:row>
      <xdr:rowOff>85632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F097C3C8-14A5-4229-A403-A1A2BA5DAC7B}"/>
            </a:ext>
          </a:extLst>
        </xdr:cNvPr>
        <xdr:cNvSpPr txBox="1"/>
      </xdr:nvSpPr>
      <xdr:spPr>
        <a:xfrm>
          <a:off x="2028825" y="5715000"/>
          <a:ext cx="858853" cy="2761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endParaRPr lang="pt-BR" sz="1100" b="1">
            <a:solidFill>
              <a:schemeClr val="tx1"/>
            </a:solidFill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</xdr:txBody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858853</xdr:colOff>
      <xdr:row>32</xdr:row>
      <xdr:rowOff>85632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6B47E879-E1C4-4303-93B0-31FED5B155D7}"/>
            </a:ext>
          </a:extLst>
        </xdr:cNvPr>
        <xdr:cNvSpPr txBox="1"/>
      </xdr:nvSpPr>
      <xdr:spPr>
        <a:xfrm>
          <a:off x="3352800" y="5905500"/>
          <a:ext cx="858853" cy="2761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endParaRPr lang="pt-BR" sz="14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913210</xdr:colOff>
      <xdr:row>32</xdr:row>
      <xdr:rowOff>85632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BC25F501-421A-451D-A7CF-0554B9DCD910}"/>
            </a:ext>
          </a:extLst>
        </xdr:cNvPr>
        <xdr:cNvSpPr txBox="1"/>
      </xdr:nvSpPr>
      <xdr:spPr>
        <a:xfrm>
          <a:off x="3352800" y="5905500"/>
          <a:ext cx="913210" cy="2761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endParaRPr lang="pt-BR" sz="1100" b="1">
            <a:solidFill>
              <a:schemeClr val="tx1"/>
            </a:solidFill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190500</xdr:rowOff>
    </xdr:from>
    <xdr:to>
      <xdr:col>2</xdr:col>
      <xdr:colOff>2163707</xdr:colOff>
      <xdr:row>9</xdr:row>
      <xdr:rowOff>104776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F96F0B2D-08A4-1BE3-6C9B-4C38035B7945}"/>
            </a:ext>
          </a:extLst>
        </xdr:cNvPr>
        <xdr:cNvGrpSpPr/>
      </xdr:nvGrpSpPr>
      <xdr:grpSpPr>
        <a:xfrm>
          <a:off x="1457325" y="1238250"/>
          <a:ext cx="2163707" cy="1066801"/>
          <a:chOff x="1457325" y="1238250"/>
          <a:chExt cx="2163707" cy="1066801"/>
        </a:xfrm>
      </xdr:grpSpPr>
      <xdr:sp macro="" textlink="Cálculos!A26">
        <xdr:nvSpPr>
          <xdr:cNvPr id="2" name="Retângulo: Cantos Arredondados 1">
            <a:extLst>
              <a:ext uri="{FF2B5EF4-FFF2-40B4-BE49-F238E27FC236}">
                <a16:creationId xmlns:a16="http://schemas.microsoft.com/office/drawing/2014/main" id="{6A3CD693-5F8C-42A1-7668-7FC2800B0D70}"/>
              </a:ext>
            </a:extLst>
          </xdr:cNvPr>
          <xdr:cNvSpPr/>
        </xdr:nvSpPr>
        <xdr:spPr>
          <a:xfrm>
            <a:off x="1457325" y="1277761"/>
            <a:ext cx="2163707" cy="1027290"/>
          </a:xfrm>
          <a:prstGeom prst="roundRect">
            <a:avLst/>
          </a:prstGeom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fld id="{EBADA690-89D7-4D42-87D5-EDA2DE502595}" type="TxLink">
              <a:rPr lang="en-US" sz="2000" b="0" i="0" u="none" strike="noStrike">
                <a:solidFill>
                  <a:srgbClr val="000000"/>
                </a:solidFill>
                <a:latin typeface="Aptos Narrow"/>
              </a:rPr>
              <a:t>R$ 2.684,11</a:t>
            </a:fld>
            <a:endParaRPr lang="en-US" sz="2000" b="0" i="0" u="none" strike="noStrike">
              <a:solidFill>
                <a:srgbClr val="000000"/>
              </a:solidFill>
              <a:latin typeface="Aptos Narrow"/>
            </a:endParaRPr>
          </a:p>
        </xdr:txBody>
      </xdr:sp>
      <xdr:sp macro="" textlink="">
        <xdr:nvSpPr>
          <xdr:cNvPr id="3" name="CaixaDeTexto 2">
            <a:extLst>
              <a:ext uri="{FF2B5EF4-FFF2-40B4-BE49-F238E27FC236}">
                <a16:creationId xmlns:a16="http://schemas.microsoft.com/office/drawing/2014/main" id="{6CD7340F-5A80-7D70-820F-BE8A1F75D40B}"/>
              </a:ext>
            </a:extLst>
          </xdr:cNvPr>
          <xdr:cNvSpPr txBox="1"/>
        </xdr:nvSpPr>
        <xdr:spPr>
          <a:xfrm>
            <a:off x="2098220" y="1238250"/>
            <a:ext cx="858853" cy="2761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Receita Total</a:t>
            </a:r>
          </a:p>
        </xdr:txBody>
      </xdr:sp>
    </xdr:grpSp>
    <xdr:clientData/>
  </xdr:twoCellAnchor>
  <xdr:twoCellAnchor editAs="oneCell">
    <xdr:from>
      <xdr:col>14</xdr:col>
      <xdr:colOff>0</xdr:colOff>
      <xdr:row>0</xdr:row>
      <xdr:rowOff>238125</xdr:rowOff>
    </xdr:from>
    <xdr:to>
      <xdr:col>22</xdr:col>
      <xdr:colOff>171453</xdr:colOff>
      <xdr:row>3</xdr:row>
      <xdr:rowOff>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16" name="Data">
              <a:extLst>
                <a:ext uri="{FF2B5EF4-FFF2-40B4-BE49-F238E27FC236}">
                  <a16:creationId xmlns:a16="http://schemas.microsoft.com/office/drawing/2014/main" id="{D97272A1-B3AB-490B-BA79-70FD260429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15850" y="238125"/>
              <a:ext cx="5048253" cy="809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  <xdr:twoCellAnchor>
    <xdr:from>
      <xdr:col>2</xdr:col>
      <xdr:colOff>2798818</xdr:colOff>
      <xdr:row>3</xdr:row>
      <xdr:rowOff>190500</xdr:rowOff>
    </xdr:from>
    <xdr:to>
      <xdr:col>4</xdr:col>
      <xdr:colOff>0</xdr:colOff>
      <xdr:row>9</xdr:row>
      <xdr:rowOff>104776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189BFAF9-52A3-7DCA-C9C0-D79880C7E112}"/>
            </a:ext>
          </a:extLst>
        </xdr:cNvPr>
        <xdr:cNvGrpSpPr/>
      </xdr:nvGrpSpPr>
      <xdr:grpSpPr>
        <a:xfrm>
          <a:off x="4256143" y="1238250"/>
          <a:ext cx="2163707" cy="1066801"/>
          <a:chOff x="1457325" y="1238250"/>
          <a:chExt cx="2163707" cy="1066801"/>
        </a:xfrm>
      </xdr:grpSpPr>
      <xdr:sp macro="" textlink="Cálculos!B26">
        <xdr:nvSpPr>
          <xdr:cNvPr id="21" name="Retângulo: Cantos Arredondados 20">
            <a:extLst>
              <a:ext uri="{FF2B5EF4-FFF2-40B4-BE49-F238E27FC236}">
                <a16:creationId xmlns:a16="http://schemas.microsoft.com/office/drawing/2014/main" id="{481E269E-4C89-C93E-C28D-42C2BF9621D5}"/>
              </a:ext>
            </a:extLst>
          </xdr:cNvPr>
          <xdr:cNvSpPr/>
        </xdr:nvSpPr>
        <xdr:spPr>
          <a:xfrm>
            <a:off x="1457325" y="1277761"/>
            <a:ext cx="2163707" cy="1027290"/>
          </a:xfrm>
          <a:prstGeom prst="roundRect">
            <a:avLst/>
          </a:prstGeom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fld id="{FA905C7C-1A12-4309-AFF5-B81E25EE8B71}" type="TxLink">
              <a:rPr lang="en-US" sz="2000" b="0" i="0" u="none" strike="noStrike">
                <a:solidFill>
                  <a:srgbClr val="000000"/>
                </a:solidFill>
                <a:latin typeface="Aptos Narrow"/>
              </a:rPr>
              <a:t>R$ 1.683,11</a:t>
            </a:fld>
            <a:endParaRPr lang="en-US" sz="2000" b="0" i="0" u="none" strike="noStrike">
              <a:solidFill>
                <a:srgbClr val="000000"/>
              </a:solidFill>
              <a:latin typeface="Aptos Narrow"/>
            </a:endParaRPr>
          </a:p>
        </xdr:txBody>
      </xdr:sp>
      <xdr:sp macro="" textlink="">
        <xdr:nvSpPr>
          <xdr:cNvPr id="22" name="CaixaDeTexto 21">
            <a:extLst>
              <a:ext uri="{FF2B5EF4-FFF2-40B4-BE49-F238E27FC236}">
                <a16:creationId xmlns:a16="http://schemas.microsoft.com/office/drawing/2014/main" id="{552EE4D9-AB7D-1179-5242-8239B833AD6A}"/>
              </a:ext>
            </a:extLst>
          </xdr:cNvPr>
          <xdr:cNvSpPr txBox="1"/>
        </xdr:nvSpPr>
        <xdr:spPr>
          <a:xfrm>
            <a:off x="2098220" y="1238250"/>
            <a:ext cx="858853" cy="2761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Lucro Total</a:t>
            </a:r>
          </a:p>
        </xdr:txBody>
      </xdr:sp>
    </xdr:grpSp>
    <xdr:clientData/>
  </xdr:twoCellAnchor>
  <xdr:twoCellAnchor>
    <xdr:from>
      <xdr:col>5</xdr:col>
      <xdr:colOff>25511</xdr:colOff>
      <xdr:row>3</xdr:row>
      <xdr:rowOff>190500</xdr:rowOff>
    </xdr:from>
    <xdr:to>
      <xdr:col>8</xdr:col>
      <xdr:colOff>360418</xdr:colOff>
      <xdr:row>9</xdr:row>
      <xdr:rowOff>104776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BE821A1B-CB07-20E1-5123-1CFF5D44171F}"/>
            </a:ext>
          </a:extLst>
        </xdr:cNvPr>
        <xdr:cNvGrpSpPr/>
      </xdr:nvGrpSpPr>
      <xdr:grpSpPr>
        <a:xfrm>
          <a:off x="7054961" y="1238250"/>
          <a:ext cx="2163707" cy="1066801"/>
          <a:chOff x="1457325" y="1238250"/>
          <a:chExt cx="2163707" cy="1066801"/>
        </a:xfrm>
      </xdr:grpSpPr>
      <xdr:sp macro="" textlink="Cálculos!C26">
        <xdr:nvSpPr>
          <xdr:cNvPr id="24" name="Retângulo: Cantos Arredondados 23">
            <a:extLst>
              <a:ext uri="{FF2B5EF4-FFF2-40B4-BE49-F238E27FC236}">
                <a16:creationId xmlns:a16="http://schemas.microsoft.com/office/drawing/2014/main" id="{7B814B91-A2DC-DF0B-E350-3D87B0D6BB8E}"/>
              </a:ext>
            </a:extLst>
          </xdr:cNvPr>
          <xdr:cNvSpPr/>
        </xdr:nvSpPr>
        <xdr:spPr>
          <a:xfrm>
            <a:off x="1457325" y="1277761"/>
            <a:ext cx="2163707" cy="1027290"/>
          </a:xfrm>
          <a:prstGeom prst="roundRect">
            <a:avLst/>
          </a:prstGeom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fld id="{C5ABFE5E-4AEA-45BD-91D0-35FEE498E502}" type="TxLink">
              <a:rPr lang="en-US" sz="2000" b="0" i="0" u="none" strike="noStrike">
                <a:solidFill>
                  <a:srgbClr val="000000"/>
                </a:solidFill>
                <a:latin typeface="Aptos Narrow"/>
              </a:rPr>
              <a:t>89</a:t>
            </a:fld>
            <a:endParaRPr lang="en-US" sz="2000" b="0" i="0" u="none" strike="noStrike">
              <a:solidFill>
                <a:srgbClr val="000000"/>
              </a:solidFill>
              <a:latin typeface="Aptos Narrow"/>
            </a:endParaRPr>
          </a:p>
        </xdr:txBody>
      </xdr:sp>
      <xdr:sp macro="" textlink="">
        <xdr:nvSpPr>
          <xdr:cNvPr id="25" name="CaixaDeTexto 24">
            <a:extLst>
              <a:ext uri="{FF2B5EF4-FFF2-40B4-BE49-F238E27FC236}">
                <a16:creationId xmlns:a16="http://schemas.microsoft.com/office/drawing/2014/main" id="{84712B6A-1A5B-B2E2-8D53-89A7AB148CEF}"/>
              </a:ext>
            </a:extLst>
          </xdr:cNvPr>
          <xdr:cNvSpPr txBox="1"/>
        </xdr:nvSpPr>
        <xdr:spPr>
          <a:xfrm>
            <a:off x="1765189" y="1238250"/>
            <a:ext cx="1499748" cy="2761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Quantidade Produtos</a:t>
            </a:r>
          </a:p>
        </xdr:txBody>
      </xdr:sp>
    </xdr:grpSp>
    <xdr:clientData/>
  </xdr:twoCellAnchor>
  <xdr:twoCellAnchor>
    <xdr:from>
      <xdr:col>9</xdr:col>
      <xdr:colOff>385929</xdr:colOff>
      <xdr:row>4</xdr:row>
      <xdr:rowOff>0</xdr:rowOff>
    </xdr:from>
    <xdr:to>
      <xdr:col>13</xdr:col>
      <xdr:colOff>111236</xdr:colOff>
      <xdr:row>9</xdr:row>
      <xdr:rowOff>104776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66DCB1BB-9D96-A19C-A77A-098D85903AC5}"/>
            </a:ext>
          </a:extLst>
        </xdr:cNvPr>
        <xdr:cNvGrpSpPr/>
      </xdr:nvGrpSpPr>
      <xdr:grpSpPr>
        <a:xfrm>
          <a:off x="9853779" y="1247775"/>
          <a:ext cx="2163707" cy="1057276"/>
          <a:chOff x="1457325" y="1247775"/>
          <a:chExt cx="2163707" cy="1057276"/>
        </a:xfrm>
      </xdr:grpSpPr>
      <xdr:sp macro="" textlink="Cálculos!D26">
        <xdr:nvSpPr>
          <xdr:cNvPr id="27" name="Retângulo: Cantos Arredondados 26">
            <a:extLst>
              <a:ext uri="{FF2B5EF4-FFF2-40B4-BE49-F238E27FC236}">
                <a16:creationId xmlns:a16="http://schemas.microsoft.com/office/drawing/2014/main" id="{B5B9E7D8-0254-406A-EA6C-C7B544451A87}"/>
              </a:ext>
            </a:extLst>
          </xdr:cNvPr>
          <xdr:cNvSpPr/>
        </xdr:nvSpPr>
        <xdr:spPr>
          <a:xfrm>
            <a:off x="1457325" y="1277761"/>
            <a:ext cx="2163707" cy="1027290"/>
          </a:xfrm>
          <a:prstGeom prst="roundRect">
            <a:avLst/>
          </a:prstGeom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fld id="{5757AF6D-9DFD-4DBE-97C2-B4D9A68C26FD}" type="TxLink">
              <a:rPr lang="en-US" sz="2000" b="0" i="0" u="none" strike="noStrike">
                <a:solidFill>
                  <a:srgbClr val="000000"/>
                </a:solidFill>
                <a:latin typeface="Aptos Narrow"/>
              </a:rPr>
              <a:t>20</a:t>
            </a:fld>
            <a:endParaRPr lang="en-US" sz="2000" b="0" i="0" u="none" strike="noStrike">
              <a:solidFill>
                <a:srgbClr val="000000"/>
              </a:solidFill>
              <a:latin typeface="Aptos Narrow"/>
            </a:endParaRPr>
          </a:p>
        </xdr:txBody>
      </xdr:sp>
      <xdr:sp macro="" textlink="">
        <xdr:nvSpPr>
          <xdr:cNvPr id="28" name="CaixaDeTexto 27">
            <a:extLst>
              <a:ext uri="{FF2B5EF4-FFF2-40B4-BE49-F238E27FC236}">
                <a16:creationId xmlns:a16="http://schemas.microsoft.com/office/drawing/2014/main" id="{BBB2616C-4FD1-CAFF-4E25-32D42FA61EFC}"/>
              </a:ext>
            </a:extLst>
          </xdr:cNvPr>
          <xdr:cNvSpPr txBox="1"/>
        </xdr:nvSpPr>
        <xdr:spPr>
          <a:xfrm>
            <a:off x="1890819" y="1247775"/>
            <a:ext cx="1276077" cy="2761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 Total Pedidos</a:t>
            </a:r>
          </a:p>
        </xdr:txBody>
      </xdr:sp>
    </xdr:grpSp>
    <xdr:clientData/>
  </xdr:twoCellAnchor>
  <xdr:twoCellAnchor>
    <xdr:from>
      <xdr:col>2</xdr:col>
      <xdr:colOff>0</xdr:colOff>
      <xdr:row>10</xdr:row>
      <xdr:rowOff>9525</xdr:rowOff>
    </xdr:from>
    <xdr:to>
      <xdr:col>13</xdr:col>
      <xdr:colOff>111236</xdr:colOff>
      <xdr:row>20</xdr:row>
      <xdr:rowOff>9525</xdr:rowOff>
    </xdr:to>
    <xdr:graphicFrame macro="">
      <xdr:nvGraphicFramePr>
        <xdr:cNvPr id="29" name="Gráfico de Jogos X Lucro">
          <a:extLst>
            <a:ext uri="{FF2B5EF4-FFF2-40B4-BE49-F238E27FC236}">
              <a16:creationId xmlns:a16="http://schemas.microsoft.com/office/drawing/2014/main" id="{9392E113-7834-4E7F-889F-EB462CC87D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600075</xdr:colOff>
      <xdr:row>3</xdr:row>
      <xdr:rowOff>190499</xdr:rowOff>
    </xdr:from>
    <xdr:to>
      <xdr:col>22</xdr:col>
      <xdr:colOff>171453</xdr:colOff>
      <xdr:row>19</xdr:row>
      <xdr:rowOff>190499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500BD81A-F914-4925-90C4-6E01D0DB34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371474</xdr:colOff>
      <xdr:row>21</xdr:row>
      <xdr:rowOff>0</xdr:rowOff>
    </xdr:from>
    <xdr:to>
      <xdr:col>3</xdr:col>
      <xdr:colOff>771524</xdr:colOff>
      <xdr:row>35</xdr:row>
      <xdr:rowOff>76200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1CCD4EF9-217D-4C3A-93E1-BC2981635C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67863</xdr:colOff>
      <xdr:row>21</xdr:row>
      <xdr:rowOff>0</xdr:rowOff>
    </xdr:from>
    <xdr:to>
      <xdr:col>13</xdr:col>
      <xdr:colOff>153587</xdr:colOff>
      <xdr:row>35</xdr:row>
      <xdr:rowOff>76200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EE6CD985-66E0-4525-81BC-C0B8B6418A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0</xdr:colOff>
      <xdr:row>21</xdr:row>
      <xdr:rowOff>0</xdr:rowOff>
    </xdr:from>
    <xdr:to>
      <xdr:col>22</xdr:col>
      <xdr:colOff>128076</xdr:colOff>
      <xdr:row>35</xdr:row>
      <xdr:rowOff>76200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5FFE74F8-736B-4453-B2D9-52A34B1702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16</xdr:col>
      <xdr:colOff>469335</xdr:colOff>
      <xdr:row>21</xdr:row>
      <xdr:rowOff>0</xdr:rowOff>
    </xdr:from>
    <xdr:ext cx="1969065" cy="280205"/>
    <xdr:sp macro="" textlink="">
      <xdr:nvSpPr>
        <xdr:cNvPr id="38" name="CaixaDeTexto 37">
          <a:extLst>
            <a:ext uri="{FF2B5EF4-FFF2-40B4-BE49-F238E27FC236}">
              <a16:creationId xmlns:a16="http://schemas.microsoft.com/office/drawing/2014/main" id="{785C6F24-D1E1-5533-292D-74B6A26EA7E9}"/>
            </a:ext>
          </a:extLst>
        </xdr:cNvPr>
        <xdr:cNvSpPr txBox="1"/>
      </xdr:nvSpPr>
      <xdr:spPr>
        <a:xfrm>
          <a:off x="14204385" y="4486275"/>
          <a:ext cx="1969065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200" b="1" i="0" u="none" strike="noStrike" kern="1200" cap="all" spc="12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rPr>
            <a:t>Vendas x</a:t>
          </a:r>
          <a:r>
            <a:rPr lang="pt-BR" sz="1100" baseline="0"/>
            <a:t> </a:t>
          </a:r>
          <a:r>
            <a:rPr lang="pt-BR" sz="1200" b="1" i="0" u="none" strike="noStrike" kern="1200" cap="all" spc="12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rPr>
            <a:t>Plataforma</a:t>
          </a:r>
        </a:p>
      </xdr:txBody>
    </xdr:sp>
    <xdr:clientData/>
  </xdr:one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0.1218</cdr:x>
      <cdr:y>0.13889</cdr:y>
    </cdr:from>
    <cdr:to>
      <cdr:x>0.3045</cdr:x>
      <cdr:y>0.47222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EB9DD37C-F104-63A7-69E4-D96F9871DE9D}"/>
            </a:ext>
          </a:extLst>
        </cdr:cNvPr>
        <cdr:cNvSpPr txBox="1"/>
      </cdr:nvSpPr>
      <cdr:spPr>
        <a:xfrm xmlns:a="http://schemas.openxmlformats.org/drawingml/2006/main">
          <a:off x="609600" y="3810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pt-BR" sz="1100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łucคร _мคя¡หнσ" refreshedDate="46076.755659606482" createdVersion="8" refreshedVersion="8" minRefreshableVersion="3" recordCount="20" xr:uid="{3C79DCA2-87C6-4547-AD8B-603C2D0AF2E8}">
  <cacheSource type="worksheet">
    <worksheetSource name="Dados"/>
  </cacheSource>
  <cacheFields count="19">
    <cacheField name="Order_ID" numFmtId="0">
      <sharedItems containsSemiMixedTypes="0" containsString="0" containsNumber="1" containsInteger="1" minValue="1001" maxValue="1020"/>
    </cacheField>
    <cacheField name="Data" numFmtId="14">
      <sharedItems containsSemiMixedTypes="0" containsNonDate="0" containsDate="1" containsString="0" minDate="2025-01-01T00:00:00" maxDate="2025-02-26T00:00:00" count="20">
        <d v="2025-01-01T00:00:00"/>
        <d v="2025-01-02T00:00:00"/>
        <d v="2025-01-03T00:00:00"/>
        <d v="2025-01-05T00:00:00"/>
        <d v="2025-01-07T00:00:00"/>
        <d v="2025-01-10T00:00:00"/>
        <d v="2025-01-12T00:00:00"/>
        <d v="2025-01-15T00:00:00"/>
        <d v="2025-01-18T00:00:00"/>
        <d v="2025-01-20T00:00:00"/>
        <d v="2025-01-22T00:00:00"/>
        <d v="2025-01-25T00:00:00"/>
        <d v="2025-01-28T00:00:00"/>
        <d v="2025-02-02T00:00:00"/>
        <d v="2025-02-05T00:00:00"/>
        <d v="2025-02-08T00:00:00"/>
        <d v="2025-02-10T00:00:00"/>
        <d v="2025-02-15T00:00:00"/>
        <d v="2025-02-20T00:00:00"/>
        <d v="2025-02-25T00:00:00"/>
      </sharedItems>
      <fieldGroup par="17"/>
    </cacheField>
    <cacheField name="Região" numFmtId="0">
      <sharedItems count="4">
        <s v="América do Norte"/>
        <s v="Europa"/>
        <s v="América do Sul"/>
        <s v="Ásia"/>
      </sharedItems>
    </cacheField>
    <cacheField name="País" numFmtId="0">
      <sharedItems/>
    </cacheField>
    <cacheField name="Plataforma" numFmtId="0">
      <sharedItems count="3">
        <s v="PC"/>
        <s v="Console"/>
        <s v="Mobile"/>
      </sharedItems>
    </cacheField>
    <cacheField name="Categoria" numFmtId="0">
      <sharedItems count="5">
        <s v="RPG"/>
        <s v="FPS"/>
        <s v="Aventura"/>
        <s v="Esporte"/>
        <s v="Assinatura"/>
      </sharedItems>
    </cacheField>
    <cacheField name="Produto" numFmtId="0">
      <sharedItems count="7">
        <s v="Legends of Ether"/>
        <s v="WarZone X"/>
        <s v="Jungle Quest"/>
        <s v="Legends of Ether DLC"/>
        <s v="Pro Soccer 2025"/>
        <s v="WarZone X DLC"/>
        <s v="GameSphere Premium"/>
      </sharedItems>
    </cacheField>
    <cacheField name="Tipo_Produto" numFmtId="0">
      <sharedItems/>
    </cacheField>
    <cacheField name="Quantidade" numFmtId="1">
      <sharedItems containsSemiMixedTypes="0" containsString="0" containsNumber="1" containsInteger="1" minValue="1" maxValue="12" count="9">
        <n v="3"/>
        <n v="2"/>
        <n v="5"/>
        <n v="4"/>
        <n v="6"/>
        <n v="10"/>
        <n v="8"/>
        <n v="12"/>
        <n v="1"/>
      </sharedItems>
    </cacheField>
    <cacheField name="Preco_Unitario" numFmtId="164">
      <sharedItems containsSemiMixedTypes="0" containsString="0" containsNumber="1" minValue="9.99" maxValue="69.989999999999995"/>
    </cacheField>
    <cacheField name="Custo_Unitario" numFmtId="164">
      <sharedItems containsSemiMixedTypes="0" containsString="0" containsNumber="1" containsInteger="1" minValue="1" maxValue="32"/>
    </cacheField>
    <cacheField name="Metodo_Pagamento" numFmtId="0">
      <sharedItems count="3">
        <s v="Cartão de Crédito"/>
        <s v="PayPal"/>
        <s v="Pix"/>
      </sharedItems>
    </cacheField>
    <cacheField name="Receita" numFmtId="164">
      <sharedItems containsSemiMixedTypes="0" containsString="0" containsNumber="1" minValue="59.94" maxValue="279.95999999999998"/>
    </cacheField>
    <cacheField name="Custo_Total" numFmtId="164">
      <sharedItems containsSemiMixedTypes="0" containsString="0" containsNumber="1" containsInteger="1" minValue="6" maxValue="128"/>
    </cacheField>
    <cacheField name="Lucro" numFmtId="164">
      <sharedItems containsSemiMixedTypes="0" containsString="0" containsNumber="1" minValue="39.989999999999995" maxValue="151.95999999999998"/>
    </cacheField>
    <cacheField name="Margem" numFmtId="164">
      <sharedItems containsSemiMixedTypes="0" containsString="0" containsNumber="1" minValue="0.53325554259043173" maxValue="0.89989989989989994"/>
    </cacheField>
    <cacheField name="Dias (Data)" numFmtId="0" databaseField="0">
      <fieldGroup base="1">
        <rangePr groupBy="days" startDate="2025-01-01T00:00:00" endDate="2025-02-26T00:00:00"/>
        <groupItems count="368">
          <s v="&lt;01/01/2025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26/02/2025"/>
        </groupItems>
      </fieldGroup>
    </cacheField>
    <cacheField name="Meses (Data)" numFmtId="0" databaseField="0">
      <fieldGroup base="1">
        <rangePr groupBy="months" startDate="2025-01-01T00:00:00" endDate="2025-02-26T00:00:00"/>
        <groupItems count="14">
          <s v="&lt;01/01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6/02/2025"/>
        </groupItems>
      </fieldGroup>
    </cacheField>
    <cacheField name="MargemCalculada" numFmtId="0" formula="Lucro/Receita" databaseField="0"/>
  </cacheFields>
  <extLst>
    <ext xmlns:x14="http://schemas.microsoft.com/office/spreadsheetml/2009/9/main" uri="{725AE2AE-9491-48be-B2B4-4EB974FC3084}">
      <x14:pivotCacheDefinition pivotCacheId="47305279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001"/>
    <x v="0"/>
    <x v="0"/>
    <s v="Estados Unidos"/>
    <x v="0"/>
    <x v="0"/>
    <x v="0"/>
    <s v="Jogo"/>
    <x v="0"/>
    <n v="59.99"/>
    <n v="25"/>
    <x v="0"/>
    <n v="179.97"/>
    <n v="75"/>
    <n v="104.97"/>
    <n v="0.58326387731288543"/>
  </r>
  <r>
    <n v="1002"/>
    <x v="1"/>
    <x v="1"/>
    <s v="Alemanha"/>
    <x v="1"/>
    <x v="1"/>
    <x v="1"/>
    <s v="Jogo"/>
    <x v="1"/>
    <n v="69.989999999999995"/>
    <n v="30"/>
    <x v="1"/>
    <n v="139.97999999999999"/>
    <n v="60"/>
    <n v="79.97999999999999"/>
    <n v="0.57136733819117014"/>
  </r>
  <r>
    <n v="1003"/>
    <x v="2"/>
    <x v="2"/>
    <s v="Brasil"/>
    <x v="2"/>
    <x v="2"/>
    <x v="2"/>
    <s v="Jogo"/>
    <x v="2"/>
    <n v="19.989999999999998"/>
    <n v="5"/>
    <x v="2"/>
    <n v="99.949999999999989"/>
    <n v="25"/>
    <n v="74.949999999999989"/>
    <n v="0.74987493746873435"/>
  </r>
  <r>
    <n v="1004"/>
    <x v="3"/>
    <x v="1"/>
    <s v="França"/>
    <x v="0"/>
    <x v="0"/>
    <x v="3"/>
    <s v="DLC"/>
    <x v="3"/>
    <n v="14.99"/>
    <n v="3"/>
    <x v="0"/>
    <n v="59.96"/>
    <n v="12"/>
    <n v="47.96"/>
    <n v="0.79986657771847902"/>
  </r>
  <r>
    <n v="1005"/>
    <x v="4"/>
    <x v="3"/>
    <s v="Japão"/>
    <x v="1"/>
    <x v="3"/>
    <x v="4"/>
    <s v="Jogo"/>
    <x v="0"/>
    <n v="59.99"/>
    <n v="28"/>
    <x v="0"/>
    <n v="179.97"/>
    <n v="84"/>
    <n v="95.97"/>
    <n v="0.53325554259043173"/>
  </r>
  <r>
    <n v="1006"/>
    <x v="5"/>
    <x v="0"/>
    <s v="Canadá"/>
    <x v="0"/>
    <x v="1"/>
    <x v="5"/>
    <s v="DLC"/>
    <x v="4"/>
    <n v="9.99"/>
    <n v="2"/>
    <x v="1"/>
    <n v="59.94"/>
    <n v="12"/>
    <n v="47.94"/>
    <n v="0.79979979979979976"/>
  </r>
  <r>
    <n v="1007"/>
    <x v="6"/>
    <x v="2"/>
    <s v="Brasil"/>
    <x v="2"/>
    <x v="4"/>
    <x v="6"/>
    <s v="Assinatura"/>
    <x v="5"/>
    <n v="9.99"/>
    <n v="1"/>
    <x v="2"/>
    <n v="99.9"/>
    <n v="10"/>
    <n v="89.9"/>
    <n v="0.89989989989989994"/>
  </r>
  <r>
    <n v="1008"/>
    <x v="7"/>
    <x v="1"/>
    <s v="Reino Unido"/>
    <x v="1"/>
    <x v="0"/>
    <x v="0"/>
    <s v="Jogo"/>
    <x v="1"/>
    <n v="69.989999999999995"/>
    <n v="30"/>
    <x v="0"/>
    <n v="139.97999999999999"/>
    <n v="60"/>
    <n v="79.97999999999999"/>
    <n v="0.57136733819117014"/>
  </r>
  <r>
    <n v="1009"/>
    <x v="8"/>
    <x v="3"/>
    <s v="Coreia do Sul"/>
    <x v="0"/>
    <x v="1"/>
    <x v="1"/>
    <s v="Jogo"/>
    <x v="3"/>
    <n v="59.99"/>
    <n v="27"/>
    <x v="0"/>
    <n v="239.96"/>
    <n v="108"/>
    <n v="131.96"/>
    <n v="0.5499249874979163"/>
  </r>
  <r>
    <n v="1010"/>
    <x v="9"/>
    <x v="0"/>
    <s v="Estados Unidos"/>
    <x v="2"/>
    <x v="2"/>
    <x v="2"/>
    <s v="Jogo"/>
    <x v="6"/>
    <n v="14.99"/>
    <n v="4"/>
    <x v="0"/>
    <n v="119.92"/>
    <n v="32"/>
    <n v="87.92"/>
    <n v="0.73315543695797203"/>
  </r>
  <r>
    <n v="1011"/>
    <x v="10"/>
    <x v="1"/>
    <s v="Alemanha"/>
    <x v="0"/>
    <x v="4"/>
    <x v="6"/>
    <s v="Assinatura"/>
    <x v="4"/>
    <n v="9.99"/>
    <n v="1"/>
    <x v="1"/>
    <n v="59.94"/>
    <n v="6"/>
    <n v="53.94"/>
    <n v="0.89989989989989994"/>
  </r>
  <r>
    <n v="1012"/>
    <x v="11"/>
    <x v="2"/>
    <s v="Argentina"/>
    <x v="1"/>
    <x v="3"/>
    <x v="4"/>
    <s v="Jogo"/>
    <x v="1"/>
    <n v="59.99"/>
    <n v="28"/>
    <x v="0"/>
    <n v="119.98"/>
    <n v="56"/>
    <n v="63.980000000000004"/>
    <n v="0.53325554259043173"/>
  </r>
  <r>
    <n v="1013"/>
    <x v="12"/>
    <x v="3"/>
    <s v="Japão"/>
    <x v="2"/>
    <x v="0"/>
    <x v="0"/>
    <s v="Jogo"/>
    <x v="2"/>
    <n v="24.99"/>
    <n v="10"/>
    <x v="0"/>
    <n v="124.94999999999999"/>
    <n v="50"/>
    <n v="74.949999999999989"/>
    <n v="0.59983993597438967"/>
  </r>
  <r>
    <n v="1014"/>
    <x v="13"/>
    <x v="1"/>
    <s v="França"/>
    <x v="0"/>
    <x v="1"/>
    <x v="1"/>
    <s v="Jogo"/>
    <x v="0"/>
    <n v="59.99"/>
    <n v="27"/>
    <x v="0"/>
    <n v="179.97"/>
    <n v="81"/>
    <n v="98.97"/>
    <n v="0.5499249874979163"/>
  </r>
  <r>
    <n v="1015"/>
    <x v="14"/>
    <x v="0"/>
    <s v="Estados Unidos"/>
    <x v="1"/>
    <x v="3"/>
    <x v="4"/>
    <s v="Jogo"/>
    <x v="3"/>
    <n v="69.989999999999995"/>
    <n v="32"/>
    <x v="0"/>
    <n v="279.95999999999998"/>
    <n v="128"/>
    <n v="151.95999999999998"/>
    <n v="0.54279182740391485"/>
  </r>
  <r>
    <n v="1016"/>
    <x v="15"/>
    <x v="2"/>
    <s v="Brasil"/>
    <x v="0"/>
    <x v="0"/>
    <x v="0"/>
    <s v="Jogo"/>
    <x v="1"/>
    <n v="59.99"/>
    <n v="25"/>
    <x v="2"/>
    <n v="119.98"/>
    <n v="50"/>
    <n v="69.98"/>
    <n v="0.58326387731288554"/>
  </r>
  <r>
    <n v="1017"/>
    <x v="16"/>
    <x v="3"/>
    <s v="Coreia do Sul"/>
    <x v="2"/>
    <x v="4"/>
    <x v="6"/>
    <s v="Assinatura"/>
    <x v="7"/>
    <n v="9.99"/>
    <n v="1"/>
    <x v="0"/>
    <n v="119.88"/>
    <n v="12"/>
    <n v="107.88"/>
    <n v="0.89989989989989994"/>
  </r>
  <r>
    <n v="1018"/>
    <x v="17"/>
    <x v="1"/>
    <s v="Reino Unido"/>
    <x v="1"/>
    <x v="1"/>
    <x v="1"/>
    <s v="Jogo"/>
    <x v="0"/>
    <n v="69.989999999999995"/>
    <n v="30"/>
    <x v="1"/>
    <n v="209.96999999999997"/>
    <n v="90"/>
    <n v="119.96999999999997"/>
    <n v="0.57136733819117014"/>
  </r>
  <r>
    <n v="1019"/>
    <x v="18"/>
    <x v="0"/>
    <s v="Canadá"/>
    <x v="0"/>
    <x v="2"/>
    <x v="2"/>
    <s v="Jogo"/>
    <x v="3"/>
    <n v="19.989999999999998"/>
    <n v="5"/>
    <x v="0"/>
    <n v="79.959999999999994"/>
    <n v="20"/>
    <n v="59.959999999999994"/>
    <n v="0.74987493746873435"/>
  </r>
  <r>
    <n v="1020"/>
    <x v="19"/>
    <x v="2"/>
    <s v="Brasil"/>
    <x v="1"/>
    <x v="0"/>
    <x v="0"/>
    <s v="Jogo"/>
    <x v="8"/>
    <n v="69.989999999999995"/>
    <n v="30"/>
    <x v="2"/>
    <n v="69.989999999999995"/>
    <n v="30"/>
    <n v="39.989999999999995"/>
    <n v="0.571367338191170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697137-9788-4E53-BF45-276ADB70497A}" name="Cards" cacheId="2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A25:D26" firstHeaderRow="0" firstDataRow="1" firstDataCol="0"/>
  <pivotFields count="19">
    <pivotField dataField="1" showAll="0"/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" showAll="0"/>
    <pivotField numFmtId="164" showAll="0"/>
    <pivotField numFmtId="164" showAll="0"/>
    <pivotField showAll="0"/>
    <pivotField dataField="1" numFmtId="164" showAll="0"/>
    <pivotField numFmtId="164" showAll="0"/>
    <pivotField dataField="1" numFmtId="164" showAll="0"/>
    <pivotField numFmtId="164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ragToRow="0" dragToCol="0" dragToPage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a de Receita" fld="12" baseField="0" baseItem="0" numFmtId="164"/>
    <dataField name="Soma de Lucro" fld="14" baseField="0" baseItem="0" numFmtId="164"/>
    <dataField name="Soma de Quantidade" fld="8" baseField="0" baseItem="0" numFmtId="1"/>
    <dataField name="Contagem de Order_ID" fld="0" subtotal="count" baseField="0" baseItem="1"/>
  </dataFields>
  <pivotTableStyleInfo name="PivotStyleLight16" showRowHeaders="1" showColHeaders="1" showRowStripes="0" showColStripes="0" showLastColumn="1"/>
  <filters count="1">
    <filter fld="1" type="dateBetween" evalOrder="-1" id="118" name="Data">
      <autoFilter ref="A1">
        <filterColumn colId="0">
          <customFilters and="1">
            <customFilter operator="greaterThanOrEqual" val="45658"/>
            <customFilter operator="lessThanOrEqual" val="4571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B3303D-E163-47A8-98FB-ED00CDF3F8E6}" name="Tabela dinâmica4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9:F13" firstHeaderRow="1" firstDataRow="1" firstDataCol="1"/>
  <pivotFields count="19">
    <pivotField showAll="0"/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  <pivotField axis="axisRow" showAll="0" measureFilter="1" sortType="descending">
      <items count="6">
        <item x="4"/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" showAll="0"/>
    <pivotField numFmtId="164" showAll="0"/>
    <pivotField numFmtId="164" showAll="0"/>
    <pivotField showAll="0"/>
    <pivotField dataField="1" numFmtId="164" showAll="0"/>
    <pivotField numFmtId="164" showAll="0"/>
    <pivotField numFmtId="164" showAll="0"/>
    <pivotField numFmtId="164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ragToRow="0" dragToCol="0" dragToPage="0" showAll="0" defaultSubtotal="0"/>
  </pivotFields>
  <rowFields count="1">
    <field x="5"/>
  </rowFields>
  <rowItems count="4">
    <i>
      <x v="3"/>
    </i>
    <i>
      <x v="4"/>
    </i>
    <i>
      <x v="2"/>
    </i>
    <i t="grand">
      <x/>
    </i>
  </rowItems>
  <colItems count="1">
    <i/>
  </colItems>
  <dataFields count="1">
    <dataField name="Soma de Receita" fld="12" baseField="0" baseItem="0" numFmtId="164"/>
  </dataField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466AAC-C88F-437B-990F-FECEB8B70A01}" name="Tabela dinâmica10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34:I37" firstHeaderRow="1" firstDataRow="1" firstDataCol="1"/>
  <pivotFields count="19">
    <pivotField showAll="0"/>
    <pivotField axis="axisRow"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numFmtId="164" showAll="0"/>
    <pivotField numFmtId="164" showAll="0"/>
    <pivotField showAll="0"/>
    <pivotField dataField="1" numFmtId="164" showAll="0"/>
    <pivotField numFmtId="164" showAll="0"/>
    <pivotField numFmtId="164" showAll="0"/>
    <pivotField numFmtId="164"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dragToRow="0" dragToCol="0" dragToPage="0" showAll="0" defaultSubtotal="0"/>
  </pivotFields>
  <rowFields count="3">
    <field x="17"/>
    <field x="16"/>
    <field x="1"/>
  </rowFields>
  <rowItems count="3">
    <i>
      <x v="1"/>
    </i>
    <i>
      <x v="2"/>
    </i>
    <i t="grand">
      <x/>
    </i>
  </rowItems>
  <colItems count="1">
    <i/>
  </colItems>
  <dataFields count="1">
    <dataField name="Soma de Receita" fld="1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AE9EF3-6F21-4140-95FC-96BDB1EFDF3E}" name="Tabela dinâmica9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H26:I30" firstHeaderRow="1" firstDataRow="1" firstDataCol="1"/>
  <pivotFields count="19">
    <pivotField dataField="1" showAll="0"/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numFmtId="164" showAll="0"/>
    <pivotField numFmtId="164" showAll="0"/>
    <pivotField axis="axisRow" showAll="0">
      <items count="4">
        <item x="0"/>
        <item x="1"/>
        <item x="2"/>
        <item t="default"/>
      </items>
    </pivotField>
    <pivotField numFmtId="164" showAll="0"/>
    <pivotField numFmtId="164" showAll="0"/>
    <pivotField numFmtId="164" showAll="0"/>
    <pivotField numFmtId="164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ragToRow="0" dragToCol="0" dragToPage="0" showAll="0" defaultSubtota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Order_ID" fld="0" subtotal="count" baseField="11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69F46D-93BA-4669-9EF3-836C644510BA}" name="Lucro x Jogos" cacheId="2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24">
  <location ref="E2:F6" firstHeaderRow="1" firstDataRow="1" firstDataCol="1"/>
  <pivotFields count="19">
    <pivotField showAll="0"/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  <pivotField showAll="0"/>
    <pivotField axis="axisRow" showAll="0" measureFilter="1" sortType="ascending">
      <items count="8">
        <item x="6"/>
        <item x="2"/>
        <item x="0"/>
        <item x="3"/>
        <item x="4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" showAll="0"/>
    <pivotField numFmtId="164" showAll="0"/>
    <pivotField numFmtId="164" showAll="0"/>
    <pivotField showAll="0"/>
    <pivotField numFmtId="164" showAll="0"/>
    <pivotField numFmtId="164" showAll="0"/>
    <pivotField dataField="1" numFmtId="164" showAll="0"/>
    <pivotField numFmtId="164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ragToRow="0" dragToCol="0" dragToPage="0" showAll="0" defaultSubtotal="0"/>
  </pivotFields>
  <rowFields count="1">
    <field x="6"/>
  </rowFields>
  <rowItems count="4">
    <i>
      <x v="4"/>
    </i>
    <i>
      <x v="2"/>
    </i>
    <i>
      <x v="5"/>
    </i>
    <i t="grand">
      <x/>
    </i>
  </rowItems>
  <colItems count="1">
    <i/>
  </colItems>
  <dataFields count="1">
    <dataField name="Soma de Lucro" fld="14" baseField="0" baseItem="0" numFmtId="164"/>
  </dataFields>
  <chartFormats count="1"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1" type="dateBetween" evalOrder="-1" id="63" name="Data">
      <autoFilter ref="A1">
        <filterColumn colId="0">
          <customFilters and="1">
            <customFilter operator="greaterThanOrEqual" val="45658"/>
            <customFilter operator="lessThanOrEqual" val="4571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6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4544F4-3E52-4E68-B485-EDFDE3863C95}" name="Tabela dinâmica8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H18:I22" firstHeaderRow="1" firstDataRow="1" firstDataCol="1"/>
  <pivotFields count="19">
    <pivotField showAll="0"/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" showAll="0"/>
    <pivotField numFmtId="164" showAll="0"/>
    <pivotField numFmtId="164" showAll="0"/>
    <pivotField showAll="0"/>
    <pivotField dataField="1" numFmtId="164" showAll="0"/>
    <pivotField numFmtId="164" showAll="0"/>
    <pivotField numFmtId="164" showAll="0"/>
    <pivotField numFmtId="164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ragToRow="0" dragToCol="0" dragToPage="0" showAll="0" defaultSubtotal="0"/>
  </pivotFields>
  <rowFields count="1">
    <field x="4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Soma de Receita" fld="12" baseField="0" baseItem="0" numFmtId="164"/>
  </dataFields>
  <chartFormats count="5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78977F-2298-4797-AD81-7BCBA41CBF01}" name="Top 5 jogos" cacheId="2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5">
  <location ref="A14:B20" firstHeaderRow="1" firstDataRow="1" firstDataCol="1"/>
  <pivotFields count="19">
    <pivotField showAll="0"/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  <pivotField showAll="0"/>
    <pivotField axis="axisRow" showAll="0" measureFilter="1" sortType="ascending">
      <items count="8">
        <item x="6"/>
        <item x="2"/>
        <item x="0"/>
        <item x="3"/>
        <item x="4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" multipleItemSelectionAllowed="1" showAll="0">
      <items count="10">
        <item x="8"/>
        <item x="1"/>
        <item x="0"/>
        <item x="3"/>
        <item x="2"/>
        <item x="4"/>
        <item x="6"/>
        <item x="5"/>
        <item x="7"/>
        <item t="default"/>
      </items>
    </pivotField>
    <pivotField numFmtId="164" showAll="0"/>
    <pivotField numFmtId="164" showAll="0"/>
    <pivotField showAll="0"/>
    <pivotField numFmtId="164" showAll="0"/>
    <pivotField numFmtId="164" showAll="0"/>
    <pivotField numFmtId="164" showAll="0"/>
    <pivotField numFmtId="164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ragToRow="0" dragToCol="0" dragToPage="0" showAll="0" defaultSubtotal="0"/>
  </pivotFields>
  <rowFields count="1">
    <field x="6"/>
  </rowFields>
  <rowItems count="6">
    <i>
      <x v="4"/>
    </i>
    <i>
      <x v="5"/>
    </i>
    <i>
      <x v="2"/>
    </i>
    <i>
      <x v="1"/>
    </i>
    <i>
      <x/>
    </i>
    <i t="grand">
      <x/>
    </i>
  </rowItems>
  <colItems count="1">
    <i/>
  </colItems>
  <dataFields count="1">
    <dataField name="Soma de Quantidade" fld="8" baseField="0" baseItem="0" numFmtId="1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1" type="dateBetween" evalOrder="-1" id="29" name="Data">
      <autoFilter ref="A1">
        <filterColumn colId="0">
          <customFilters and="1">
            <customFilter operator="greaterThanOrEqual" val="45658"/>
            <customFilter operator="lessThanOrEqual" val="4571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6" type="count" evalOrder="-1" id="4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EDB077-A643-4A2B-A1AD-4AF216E06B89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8:B11" firstHeaderRow="1" firstDataRow="1" firstDataCol="1"/>
  <pivotFields count="19">
    <pivotField showAll="0"/>
    <pivotField axis="axisRow"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numFmtId="164" showAll="0"/>
    <pivotField numFmtId="164" showAll="0"/>
    <pivotField showAll="0"/>
    <pivotField dataField="1" numFmtId="164" showAll="0"/>
    <pivotField numFmtId="164" showAll="0"/>
    <pivotField numFmtId="164" showAll="0"/>
    <pivotField numFmtId="164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ragToRow="0" dragToCol="0" dragToPage="0" showAll="0" defaultSubtotal="0"/>
  </pivotFields>
  <rowFields count="3">
    <field x="17"/>
    <field x="16"/>
    <field x="1"/>
  </rowFields>
  <rowItems count="3">
    <i>
      <x v="1"/>
    </i>
    <i>
      <x v="2"/>
    </i>
    <i t="grand">
      <x/>
    </i>
  </rowItems>
  <colItems count="1">
    <i/>
  </colItems>
  <dataFields count="1">
    <dataField name="Soma de Receita" fld="1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AC7390-4245-47A4-A16B-FCFBBD8AA9E4}" name="regioes" cacheId="2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3">
  <location ref="H10:J15" firstHeaderRow="0" firstDataRow="1" firstDataCol="1"/>
  <pivotFields count="19">
    <pivotField showAll="0"/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numFmtId="1" showAll="0"/>
    <pivotField numFmtId="164" showAll="0"/>
    <pivotField numFmtId="164" showAll="0"/>
    <pivotField showAll="0"/>
    <pivotField dataField="1" numFmtId="164" showAll="0"/>
    <pivotField numFmtId="164" showAll="0"/>
    <pivotField dataField="1" numFmtId="164" showAll="0"/>
    <pivotField numFmtId="164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ragToRow="0" dragToCol="0" dragToPage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Receita" fld="12" baseField="0" baseItem="0" numFmtId="164"/>
    <dataField name="Soma de Lucro" fld="14" baseField="0" baseItem="0" numFmtId="164"/>
  </dataFields>
  <chartFormats count="8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41" name="Data">
      <autoFilter ref="A1">
        <filterColumn colId="0">
          <customFilters and="1">
            <customFilter operator="greaterThanOrEqual" val="45658"/>
            <customFilter operator="lessThanOrEqual" val="4571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7B9BF-73A5-42F1-869F-7E5D47CCC318}" name="Tabela dinâmica6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2:I7" firstHeaderRow="1" firstDataRow="1" firstDataCol="1"/>
  <pivotFields count="19">
    <pivotField showAll="0"/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Row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" showAll="0"/>
    <pivotField numFmtId="164" showAll="0"/>
    <pivotField numFmtId="164" showAll="0"/>
    <pivotField showAll="0"/>
    <pivotField numFmtId="164" showAll="0"/>
    <pivotField numFmtId="164" showAll="0"/>
    <pivotField dataField="1" numFmtId="164" showAll="0"/>
    <pivotField numFmtId="164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ragToRow="0" dragToCol="0" dragToPage="0" showAll="0" defaultSubtotal="0"/>
  </pivotFields>
  <rowFields count="1">
    <field x="2"/>
  </rowFields>
  <rowItems count="5">
    <i>
      <x v="3"/>
    </i>
    <i>
      <x/>
    </i>
    <i>
      <x v="2"/>
    </i>
    <i>
      <x v="1"/>
    </i>
    <i t="grand">
      <x/>
    </i>
  </rowItems>
  <colItems count="1">
    <i/>
  </colItems>
  <dataFields count="1">
    <dataField name="Soma de Lucro" fld="1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F88C42-052C-4FE1-A32A-15DB8F964D83}" name="Tabela dinâmica5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16:F21" firstHeaderRow="1" firstDataRow="1" firstDataCol="1"/>
  <pivotFields count="19">
    <pivotField showAll="0"/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Row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" showAll="0"/>
    <pivotField numFmtId="164" showAll="0"/>
    <pivotField numFmtId="164" showAll="0"/>
    <pivotField showAll="0"/>
    <pivotField dataField="1" numFmtId="164" showAll="0"/>
    <pivotField numFmtId="164" showAll="0"/>
    <pivotField numFmtId="164" showAll="0"/>
    <pivotField numFmtId="164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ragToRow="0" dragToCol="0" dragToPage="0" showAll="0" defaultSubtotal="0"/>
  </pivotFields>
  <rowFields count="1">
    <field x="2"/>
  </rowFields>
  <rowItems count="5">
    <i>
      <x v="3"/>
    </i>
    <i>
      <x/>
    </i>
    <i>
      <x v="2"/>
    </i>
    <i>
      <x v="1"/>
    </i>
    <i t="grand">
      <x/>
    </i>
  </rowItems>
  <colItems count="1">
    <i/>
  </colItems>
  <dataFields count="1">
    <dataField name="Soma de Receita" fld="1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36F8C9-881D-44D3-A292-0FBDDB984853}" name="Dados" displayName="Dados" ref="A1:P21" totalsRowShown="0" headerRowDxfId="17" dataDxfId="16">
  <autoFilter ref="A1:P21" xr:uid="{E736F8C9-881D-44D3-A292-0FBDDB984853}"/>
  <tableColumns count="16">
    <tableColumn id="1" xr3:uid="{552D2850-6769-47E2-9C81-A58C43DAC0BF}" name="Order_ID" dataDxfId="15"/>
    <tableColumn id="2" xr3:uid="{7E348661-7F0E-4AFC-8C25-0D0DD4A1B4F8}" name="Data" dataDxfId="14"/>
    <tableColumn id="3" xr3:uid="{F4810812-FE1C-4D1C-85F5-C2E0649BD480}" name="Região" dataDxfId="13"/>
    <tableColumn id="4" xr3:uid="{CC0153D7-51D2-4FC8-BB47-8A28A8DCFD63}" name="País" dataDxfId="12"/>
    <tableColumn id="5" xr3:uid="{1E1ED49B-F57F-45B1-BF74-A94B2EC67242}" name="Plataforma" dataDxfId="11"/>
    <tableColumn id="6" xr3:uid="{C877D3CA-FA65-424E-BC83-3EB8FDBF12D0}" name="Categoria" dataDxfId="10"/>
    <tableColumn id="7" xr3:uid="{9D863BBF-8C13-4BD5-B52D-34744169E02E}" name="Produto" dataDxfId="9"/>
    <tableColumn id="8" xr3:uid="{27BD852F-EB57-402E-982A-B2BC235AA5F7}" name="Tipo_Produto" dataDxfId="8"/>
    <tableColumn id="9" xr3:uid="{F7507E56-A95D-43F0-958A-1F8C0E14937A}" name="Quantidade" dataDxfId="7"/>
    <tableColumn id="10" xr3:uid="{336FD053-6D44-47F4-A330-CA2AE4E0BC24}" name="Preco_Unitario" dataDxfId="6"/>
    <tableColumn id="11" xr3:uid="{41BDCD60-9B76-4E42-AA52-F2708AFA8EB5}" name="Custo_Unitario" dataDxfId="5"/>
    <tableColumn id="12" xr3:uid="{8BA67146-6456-4BF9-BCBC-ADD5DEF45F2F}" name="Metodo_Pagamento" dataDxfId="4"/>
    <tableColumn id="14" xr3:uid="{470ACBBD-3FF9-404A-905F-93943A876593}" name="Receita" dataDxfId="3">
      <calculatedColumnFormula>I2*J2</calculatedColumnFormula>
    </tableColumn>
    <tableColumn id="15" xr3:uid="{A232B4AA-04CF-4DF6-92E8-B9CD981B8A26}" name="Custo_Total" dataDxfId="2">
      <calculatedColumnFormula>I2*K2</calculatedColumnFormula>
    </tableColumn>
    <tableColumn id="16" xr3:uid="{6EE01244-959E-4362-84C7-94B701CA7AFF}" name="Lucro" dataDxfId="1">
      <calculatedColumnFormula>M2-N2</calculatedColumnFormula>
    </tableColumn>
    <tableColumn id="17" xr3:uid="{413CFE66-ED40-4D67-86F1-7E0A9053F0B7}" name="Margem" dataDxfId="0">
      <calculatedColumnFormula>O2/M2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a" xr10:uid="{F8DA38DE-2BF9-42CA-AEAC-0B972E6A3DB5}" sourceName="Data">
  <pivotTables>
    <pivotTable tabId="3" name="Cards"/>
    <pivotTable tabId="3" name="Lucro x Jogos"/>
    <pivotTable tabId="3" name="regioes"/>
    <pivotTable tabId="3" name="Top 5 jogos"/>
  </pivotTables>
  <state minimalRefreshVersion="6" lastRefreshVersion="6" pivotCacheId="473052796" filterType="dateBetween">
    <selection startDate="2025-01-01T00:00:00" endDate="2025-02-28T00:00:00"/>
    <bounds startDate="2025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" xr10:uid="{C48CF21B-7322-45DA-847A-A3071F35E709}" cache="NativeTimeline_Data" caption="Data" showHeader="0" showSelectionLabel="0" showTimeLevel="0" level="2" selectionLevel="2" scrollPosition="2025-01-01T00:00:00" style="TimeSlicerStyleDark1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3CECC-E5B2-4C26-905E-BD0FC1845C13}">
  <dimension ref="A1:P21"/>
  <sheetViews>
    <sheetView topLeftCell="A10" workbookViewId="0">
      <selection activeCell="B40" sqref="B40"/>
    </sheetView>
  </sheetViews>
  <sheetFormatPr defaultRowHeight="15" x14ac:dyDescent="0.25"/>
  <cols>
    <col min="1" max="1" width="10.85546875" customWidth="1"/>
    <col min="2" max="2" width="10.42578125" bestFit="1" customWidth="1"/>
    <col min="3" max="3" width="16.42578125" bestFit="1" customWidth="1"/>
    <col min="4" max="4" width="14.85546875" bestFit="1" customWidth="1"/>
    <col min="5" max="5" width="13" customWidth="1"/>
    <col min="6" max="6" width="11.5703125" customWidth="1"/>
    <col min="7" max="7" width="20.85546875" bestFit="1" customWidth="1"/>
    <col min="8" max="8" width="14.85546875" customWidth="1"/>
    <col min="9" max="9" width="13.5703125" style="6" customWidth="1"/>
    <col min="10" max="11" width="16.140625" style="4" customWidth="1"/>
    <col min="12" max="12" width="20.5703125" customWidth="1"/>
    <col min="13" max="15" width="16.140625" style="4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  <c r="J1" s="7" t="s">
        <v>9</v>
      </c>
      <c r="K1" s="7" t="s">
        <v>10</v>
      </c>
      <c r="L1" s="1" t="s">
        <v>11</v>
      </c>
      <c r="M1" s="7" t="s">
        <v>45</v>
      </c>
      <c r="N1" s="7" t="s">
        <v>46</v>
      </c>
      <c r="O1" s="7" t="s">
        <v>47</v>
      </c>
      <c r="P1" s="1" t="s">
        <v>48</v>
      </c>
    </row>
    <row r="2" spans="1:16" x14ac:dyDescent="0.25">
      <c r="A2" s="1">
        <v>1001</v>
      </c>
      <c r="B2" s="3">
        <v>45658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5">
        <v>3</v>
      </c>
      <c r="J2" s="2">
        <v>59.99</v>
      </c>
      <c r="K2" s="2">
        <v>25</v>
      </c>
      <c r="L2" s="1" t="s">
        <v>18</v>
      </c>
      <c r="M2" s="2">
        <f t="shared" ref="M2:M21" si="0">I2*J2</f>
        <v>179.97</v>
      </c>
      <c r="N2" s="2">
        <f t="shared" ref="N2:N21" si="1">I2*K2</f>
        <v>75</v>
      </c>
      <c r="O2" s="2">
        <f t="shared" ref="O2:O21" si="2">M2-N2</f>
        <v>104.97</v>
      </c>
      <c r="P2" s="2">
        <f t="shared" ref="P2:P21" si="3">O2/M2</f>
        <v>0.58326387731288543</v>
      </c>
    </row>
    <row r="3" spans="1:16" x14ac:dyDescent="0.25">
      <c r="A3" s="1">
        <v>1002</v>
      </c>
      <c r="B3" s="3">
        <v>45659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17</v>
      </c>
      <c r="I3" s="5">
        <v>2</v>
      </c>
      <c r="J3" s="2">
        <v>69.989999999999995</v>
      </c>
      <c r="K3" s="2">
        <v>30</v>
      </c>
      <c r="L3" s="1" t="s">
        <v>24</v>
      </c>
      <c r="M3" s="2">
        <f t="shared" si="0"/>
        <v>139.97999999999999</v>
      </c>
      <c r="N3" s="2">
        <f t="shared" si="1"/>
        <v>60</v>
      </c>
      <c r="O3" s="2">
        <f t="shared" si="2"/>
        <v>79.97999999999999</v>
      </c>
      <c r="P3" s="2">
        <f t="shared" si="3"/>
        <v>0.57136733819117014</v>
      </c>
    </row>
    <row r="4" spans="1:16" x14ac:dyDescent="0.25">
      <c r="A4" s="1">
        <v>1003</v>
      </c>
      <c r="B4" s="3">
        <v>45660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17</v>
      </c>
      <c r="I4" s="5">
        <v>5</v>
      </c>
      <c r="J4" s="2">
        <v>19.989999999999998</v>
      </c>
      <c r="K4" s="2">
        <v>5</v>
      </c>
      <c r="L4" s="1" t="s">
        <v>30</v>
      </c>
      <c r="M4" s="2">
        <f t="shared" si="0"/>
        <v>99.949999999999989</v>
      </c>
      <c r="N4" s="2">
        <f t="shared" si="1"/>
        <v>25</v>
      </c>
      <c r="O4" s="2">
        <f t="shared" si="2"/>
        <v>74.949999999999989</v>
      </c>
      <c r="P4" s="2">
        <f t="shared" si="3"/>
        <v>0.74987493746873435</v>
      </c>
    </row>
    <row r="5" spans="1:16" x14ac:dyDescent="0.25">
      <c r="A5" s="1">
        <v>1004</v>
      </c>
      <c r="B5" s="3">
        <v>45662</v>
      </c>
      <c r="C5" s="1" t="s">
        <v>19</v>
      </c>
      <c r="D5" s="1" t="s">
        <v>31</v>
      </c>
      <c r="E5" s="1" t="s">
        <v>14</v>
      </c>
      <c r="F5" s="1" t="s">
        <v>15</v>
      </c>
      <c r="G5" s="1" t="s">
        <v>32</v>
      </c>
      <c r="H5" s="1" t="s">
        <v>33</v>
      </c>
      <c r="I5" s="5">
        <v>4</v>
      </c>
      <c r="J5" s="2">
        <v>14.99</v>
      </c>
      <c r="K5" s="2">
        <v>3</v>
      </c>
      <c r="L5" s="1" t="s">
        <v>18</v>
      </c>
      <c r="M5" s="2">
        <f t="shared" si="0"/>
        <v>59.96</v>
      </c>
      <c r="N5" s="2">
        <f t="shared" si="1"/>
        <v>12</v>
      </c>
      <c r="O5" s="2">
        <f t="shared" si="2"/>
        <v>47.96</v>
      </c>
      <c r="P5" s="2">
        <f t="shared" si="3"/>
        <v>0.79986657771847902</v>
      </c>
    </row>
    <row r="6" spans="1:16" x14ac:dyDescent="0.25">
      <c r="A6" s="1">
        <v>1005</v>
      </c>
      <c r="B6" s="3">
        <v>45664</v>
      </c>
      <c r="C6" s="1" t="s">
        <v>34</v>
      </c>
      <c r="D6" s="1" t="s">
        <v>35</v>
      </c>
      <c r="E6" s="1" t="s">
        <v>21</v>
      </c>
      <c r="F6" s="1" t="s">
        <v>36</v>
      </c>
      <c r="G6" s="1" t="s">
        <v>37</v>
      </c>
      <c r="H6" s="1" t="s">
        <v>17</v>
      </c>
      <c r="I6" s="5">
        <v>3</v>
      </c>
      <c r="J6" s="2">
        <v>59.99</v>
      </c>
      <c r="K6" s="2">
        <v>28</v>
      </c>
      <c r="L6" s="1" t="s">
        <v>18</v>
      </c>
      <c r="M6" s="2">
        <f t="shared" si="0"/>
        <v>179.97</v>
      </c>
      <c r="N6" s="2">
        <f t="shared" si="1"/>
        <v>84</v>
      </c>
      <c r="O6" s="2">
        <f t="shared" si="2"/>
        <v>95.97</v>
      </c>
      <c r="P6" s="2">
        <f t="shared" si="3"/>
        <v>0.53325554259043173</v>
      </c>
    </row>
    <row r="7" spans="1:16" x14ac:dyDescent="0.25">
      <c r="A7" s="1">
        <v>1006</v>
      </c>
      <c r="B7" s="3">
        <v>45667</v>
      </c>
      <c r="C7" s="1" t="s">
        <v>12</v>
      </c>
      <c r="D7" s="1" t="s">
        <v>38</v>
      </c>
      <c r="E7" s="1" t="s">
        <v>14</v>
      </c>
      <c r="F7" s="1" t="s">
        <v>22</v>
      </c>
      <c r="G7" s="1" t="s">
        <v>39</v>
      </c>
      <c r="H7" s="1" t="s">
        <v>33</v>
      </c>
      <c r="I7" s="5">
        <v>6</v>
      </c>
      <c r="J7" s="2">
        <v>9.99</v>
      </c>
      <c r="K7" s="2">
        <v>2</v>
      </c>
      <c r="L7" s="1" t="s">
        <v>24</v>
      </c>
      <c r="M7" s="2">
        <f t="shared" si="0"/>
        <v>59.94</v>
      </c>
      <c r="N7" s="2">
        <f t="shared" si="1"/>
        <v>12</v>
      </c>
      <c r="O7" s="2">
        <f t="shared" si="2"/>
        <v>47.94</v>
      </c>
      <c r="P7" s="2">
        <f t="shared" si="3"/>
        <v>0.79979979979979976</v>
      </c>
    </row>
    <row r="8" spans="1:16" x14ac:dyDescent="0.25">
      <c r="A8" s="1">
        <v>1007</v>
      </c>
      <c r="B8" s="3">
        <v>45669</v>
      </c>
      <c r="C8" s="1" t="s">
        <v>25</v>
      </c>
      <c r="D8" s="1" t="s">
        <v>26</v>
      </c>
      <c r="E8" s="1" t="s">
        <v>27</v>
      </c>
      <c r="F8" s="1" t="s">
        <v>40</v>
      </c>
      <c r="G8" s="1" t="s">
        <v>41</v>
      </c>
      <c r="H8" s="1" t="s">
        <v>40</v>
      </c>
      <c r="I8" s="5">
        <v>10</v>
      </c>
      <c r="J8" s="2">
        <v>9.99</v>
      </c>
      <c r="K8" s="2">
        <v>1</v>
      </c>
      <c r="L8" s="1" t="s">
        <v>30</v>
      </c>
      <c r="M8" s="2">
        <f t="shared" si="0"/>
        <v>99.9</v>
      </c>
      <c r="N8" s="2">
        <f t="shared" si="1"/>
        <v>10</v>
      </c>
      <c r="O8" s="2">
        <f t="shared" si="2"/>
        <v>89.9</v>
      </c>
      <c r="P8" s="2">
        <f t="shared" si="3"/>
        <v>0.89989989989989994</v>
      </c>
    </row>
    <row r="9" spans="1:16" x14ac:dyDescent="0.25">
      <c r="A9" s="1">
        <v>1008</v>
      </c>
      <c r="B9" s="3">
        <v>45672</v>
      </c>
      <c r="C9" s="1" t="s">
        <v>19</v>
      </c>
      <c r="D9" s="1" t="s">
        <v>42</v>
      </c>
      <c r="E9" s="1" t="s">
        <v>21</v>
      </c>
      <c r="F9" s="1" t="s">
        <v>15</v>
      </c>
      <c r="G9" s="1" t="s">
        <v>16</v>
      </c>
      <c r="H9" s="1" t="s">
        <v>17</v>
      </c>
      <c r="I9" s="5">
        <v>2</v>
      </c>
      <c r="J9" s="2">
        <v>69.989999999999995</v>
      </c>
      <c r="K9" s="2">
        <v>30</v>
      </c>
      <c r="L9" s="1" t="s">
        <v>18</v>
      </c>
      <c r="M9" s="2">
        <f t="shared" si="0"/>
        <v>139.97999999999999</v>
      </c>
      <c r="N9" s="2">
        <f t="shared" si="1"/>
        <v>60</v>
      </c>
      <c r="O9" s="2">
        <f t="shared" si="2"/>
        <v>79.97999999999999</v>
      </c>
      <c r="P9" s="2">
        <f t="shared" si="3"/>
        <v>0.57136733819117014</v>
      </c>
    </row>
    <row r="10" spans="1:16" x14ac:dyDescent="0.25">
      <c r="A10" s="1">
        <v>1009</v>
      </c>
      <c r="B10" s="3">
        <v>45675</v>
      </c>
      <c r="C10" s="1" t="s">
        <v>34</v>
      </c>
      <c r="D10" s="1" t="s">
        <v>43</v>
      </c>
      <c r="E10" s="1" t="s">
        <v>14</v>
      </c>
      <c r="F10" s="1" t="s">
        <v>22</v>
      </c>
      <c r="G10" s="1" t="s">
        <v>23</v>
      </c>
      <c r="H10" s="1" t="s">
        <v>17</v>
      </c>
      <c r="I10" s="5">
        <v>4</v>
      </c>
      <c r="J10" s="2">
        <v>59.99</v>
      </c>
      <c r="K10" s="2">
        <v>27</v>
      </c>
      <c r="L10" s="1" t="s">
        <v>18</v>
      </c>
      <c r="M10" s="2">
        <f t="shared" si="0"/>
        <v>239.96</v>
      </c>
      <c r="N10" s="2">
        <f t="shared" si="1"/>
        <v>108</v>
      </c>
      <c r="O10" s="2">
        <f t="shared" si="2"/>
        <v>131.96</v>
      </c>
      <c r="P10" s="2">
        <f t="shared" si="3"/>
        <v>0.5499249874979163</v>
      </c>
    </row>
    <row r="11" spans="1:16" x14ac:dyDescent="0.25">
      <c r="A11" s="1">
        <v>1010</v>
      </c>
      <c r="B11" s="3">
        <v>45677</v>
      </c>
      <c r="C11" s="1" t="s">
        <v>12</v>
      </c>
      <c r="D11" s="1" t="s">
        <v>13</v>
      </c>
      <c r="E11" s="1" t="s">
        <v>27</v>
      </c>
      <c r="F11" s="1" t="s">
        <v>28</v>
      </c>
      <c r="G11" s="1" t="s">
        <v>29</v>
      </c>
      <c r="H11" s="1" t="s">
        <v>17</v>
      </c>
      <c r="I11" s="5">
        <v>8</v>
      </c>
      <c r="J11" s="2">
        <v>14.99</v>
      </c>
      <c r="K11" s="2">
        <v>4</v>
      </c>
      <c r="L11" s="1" t="s">
        <v>18</v>
      </c>
      <c r="M11" s="2">
        <f t="shared" si="0"/>
        <v>119.92</v>
      </c>
      <c r="N11" s="2">
        <f t="shared" si="1"/>
        <v>32</v>
      </c>
      <c r="O11" s="2">
        <f t="shared" si="2"/>
        <v>87.92</v>
      </c>
      <c r="P11" s="2">
        <f t="shared" si="3"/>
        <v>0.73315543695797203</v>
      </c>
    </row>
    <row r="12" spans="1:16" x14ac:dyDescent="0.25">
      <c r="A12" s="1">
        <v>1011</v>
      </c>
      <c r="B12" s="3">
        <v>45679</v>
      </c>
      <c r="C12" s="1" t="s">
        <v>19</v>
      </c>
      <c r="D12" s="1" t="s">
        <v>20</v>
      </c>
      <c r="E12" s="1" t="s">
        <v>14</v>
      </c>
      <c r="F12" s="1" t="s">
        <v>40</v>
      </c>
      <c r="G12" s="1" t="s">
        <v>41</v>
      </c>
      <c r="H12" s="1" t="s">
        <v>40</v>
      </c>
      <c r="I12" s="5">
        <v>6</v>
      </c>
      <c r="J12" s="2">
        <v>9.99</v>
      </c>
      <c r="K12" s="2">
        <v>1</v>
      </c>
      <c r="L12" s="1" t="s">
        <v>24</v>
      </c>
      <c r="M12" s="2">
        <f t="shared" si="0"/>
        <v>59.94</v>
      </c>
      <c r="N12" s="2">
        <f t="shared" si="1"/>
        <v>6</v>
      </c>
      <c r="O12" s="2">
        <f t="shared" si="2"/>
        <v>53.94</v>
      </c>
      <c r="P12" s="2">
        <f t="shared" si="3"/>
        <v>0.89989989989989994</v>
      </c>
    </row>
    <row r="13" spans="1:16" x14ac:dyDescent="0.25">
      <c r="A13" s="1">
        <v>1012</v>
      </c>
      <c r="B13" s="3">
        <v>45682</v>
      </c>
      <c r="C13" s="1" t="s">
        <v>25</v>
      </c>
      <c r="D13" s="1" t="s">
        <v>44</v>
      </c>
      <c r="E13" s="1" t="s">
        <v>21</v>
      </c>
      <c r="F13" s="1" t="s">
        <v>36</v>
      </c>
      <c r="G13" s="1" t="s">
        <v>37</v>
      </c>
      <c r="H13" s="1" t="s">
        <v>17</v>
      </c>
      <c r="I13" s="5">
        <v>2</v>
      </c>
      <c r="J13" s="2">
        <v>59.99</v>
      </c>
      <c r="K13" s="2">
        <v>28</v>
      </c>
      <c r="L13" s="1" t="s">
        <v>18</v>
      </c>
      <c r="M13" s="2">
        <f t="shared" si="0"/>
        <v>119.98</v>
      </c>
      <c r="N13" s="2">
        <f t="shared" si="1"/>
        <v>56</v>
      </c>
      <c r="O13" s="2">
        <f t="shared" si="2"/>
        <v>63.980000000000004</v>
      </c>
      <c r="P13" s="2">
        <f t="shared" si="3"/>
        <v>0.53325554259043173</v>
      </c>
    </row>
    <row r="14" spans="1:16" x14ac:dyDescent="0.25">
      <c r="A14" s="1">
        <v>1013</v>
      </c>
      <c r="B14" s="3">
        <v>45685</v>
      </c>
      <c r="C14" s="1" t="s">
        <v>34</v>
      </c>
      <c r="D14" s="1" t="s">
        <v>35</v>
      </c>
      <c r="E14" s="1" t="s">
        <v>27</v>
      </c>
      <c r="F14" s="1" t="s">
        <v>15</v>
      </c>
      <c r="G14" s="1" t="s">
        <v>16</v>
      </c>
      <c r="H14" s="1" t="s">
        <v>17</v>
      </c>
      <c r="I14" s="5">
        <v>5</v>
      </c>
      <c r="J14" s="2">
        <v>24.99</v>
      </c>
      <c r="K14" s="2">
        <v>10</v>
      </c>
      <c r="L14" s="1" t="s">
        <v>18</v>
      </c>
      <c r="M14" s="2">
        <f t="shared" si="0"/>
        <v>124.94999999999999</v>
      </c>
      <c r="N14" s="2">
        <f t="shared" si="1"/>
        <v>50</v>
      </c>
      <c r="O14" s="2">
        <f t="shared" si="2"/>
        <v>74.949999999999989</v>
      </c>
      <c r="P14" s="2">
        <f t="shared" si="3"/>
        <v>0.59983993597438967</v>
      </c>
    </row>
    <row r="15" spans="1:16" x14ac:dyDescent="0.25">
      <c r="A15" s="1">
        <v>1014</v>
      </c>
      <c r="B15" s="3">
        <v>45690</v>
      </c>
      <c r="C15" s="1" t="s">
        <v>19</v>
      </c>
      <c r="D15" s="1" t="s">
        <v>31</v>
      </c>
      <c r="E15" s="1" t="s">
        <v>14</v>
      </c>
      <c r="F15" s="1" t="s">
        <v>22</v>
      </c>
      <c r="G15" s="1" t="s">
        <v>23</v>
      </c>
      <c r="H15" s="1" t="s">
        <v>17</v>
      </c>
      <c r="I15" s="5">
        <v>3</v>
      </c>
      <c r="J15" s="2">
        <v>59.99</v>
      </c>
      <c r="K15" s="2">
        <v>27</v>
      </c>
      <c r="L15" s="1" t="s">
        <v>18</v>
      </c>
      <c r="M15" s="2">
        <f t="shared" si="0"/>
        <v>179.97</v>
      </c>
      <c r="N15" s="2">
        <f t="shared" si="1"/>
        <v>81</v>
      </c>
      <c r="O15" s="2">
        <f t="shared" si="2"/>
        <v>98.97</v>
      </c>
      <c r="P15" s="2">
        <f t="shared" si="3"/>
        <v>0.5499249874979163</v>
      </c>
    </row>
    <row r="16" spans="1:16" x14ac:dyDescent="0.25">
      <c r="A16" s="1">
        <v>1015</v>
      </c>
      <c r="B16" s="3">
        <v>45693</v>
      </c>
      <c r="C16" s="1" t="s">
        <v>12</v>
      </c>
      <c r="D16" s="1" t="s">
        <v>13</v>
      </c>
      <c r="E16" s="1" t="s">
        <v>21</v>
      </c>
      <c r="F16" s="1" t="s">
        <v>36</v>
      </c>
      <c r="G16" s="1" t="s">
        <v>37</v>
      </c>
      <c r="H16" s="1" t="s">
        <v>17</v>
      </c>
      <c r="I16" s="5">
        <v>4</v>
      </c>
      <c r="J16" s="2">
        <v>69.989999999999995</v>
      </c>
      <c r="K16" s="2">
        <v>32</v>
      </c>
      <c r="L16" s="1" t="s">
        <v>18</v>
      </c>
      <c r="M16" s="2">
        <f t="shared" si="0"/>
        <v>279.95999999999998</v>
      </c>
      <c r="N16" s="2">
        <f t="shared" si="1"/>
        <v>128</v>
      </c>
      <c r="O16" s="2">
        <f t="shared" si="2"/>
        <v>151.95999999999998</v>
      </c>
      <c r="P16" s="2">
        <f t="shared" si="3"/>
        <v>0.54279182740391485</v>
      </c>
    </row>
    <row r="17" spans="1:16" x14ac:dyDescent="0.25">
      <c r="A17" s="1">
        <v>1016</v>
      </c>
      <c r="B17" s="3">
        <v>45696</v>
      </c>
      <c r="C17" s="1" t="s">
        <v>25</v>
      </c>
      <c r="D17" s="1" t="s">
        <v>26</v>
      </c>
      <c r="E17" s="1" t="s">
        <v>14</v>
      </c>
      <c r="F17" s="1" t="s">
        <v>15</v>
      </c>
      <c r="G17" s="1" t="s">
        <v>16</v>
      </c>
      <c r="H17" s="1" t="s">
        <v>17</v>
      </c>
      <c r="I17" s="5">
        <v>2</v>
      </c>
      <c r="J17" s="2">
        <v>59.99</v>
      </c>
      <c r="K17" s="2">
        <v>25</v>
      </c>
      <c r="L17" s="1" t="s">
        <v>30</v>
      </c>
      <c r="M17" s="2">
        <f t="shared" si="0"/>
        <v>119.98</v>
      </c>
      <c r="N17" s="2">
        <f t="shared" si="1"/>
        <v>50</v>
      </c>
      <c r="O17" s="2">
        <f t="shared" si="2"/>
        <v>69.98</v>
      </c>
      <c r="P17" s="2">
        <f t="shared" si="3"/>
        <v>0.58326387731288554</v>
      </c>
    </row>
    <row r="18" spans="1:16" x14ac:dyDescent="0.25">
      <c r="A18" s="1">
        <v>1017</v>
      </c>
      <c r="B18" s="3">
        <v>45698</v>
      </c>
      <c r="C18" s="1" t="s">
        <v>34</v>
      </c>
      <c r="D18" s="1" t="s">
        <v>43</v>
      </c>
      <c r="E18" s="1" t="s">
        <v>27</v>
      </c>
      <c r="F18" s="1" t="s">
        <v>40</v>
      </c>
      <c r="G18" s="1" t="s">
        <v>41</v>
      </c>
      <c r="H18" s="1" t="s">
        <v>40</v>
      </c>
      <c r="I18" s="5">
        <v>12</v>
      </c>
      <c r="J18" s="2">
        <v>9.99</v>
      </c>
      <c r="K18" s="2">
        <v>1</v>
      </c>
      <c r="L18" s="1" t="s">
        <v>18</v>
      </c>
      <c r="M18" s="2">
        <f t="shared" si="0"/>
        <v>119.88</v>
      </c>
      <c r="N18" s="2">
        <f t="shared" si="1"/>
        <v>12</v>
      </c>
      <c r="O18" s="2">
        <f t="shared" si="2"/>
        <v>107.88</v>
      </c>
      <c r="P18" s="2">
        <f t="shared" si="3"/>
        <v>0.89989989989989994</v>
      </c>
    </row>
    <row r="19" spans="1:16" x14ac:dyDescent="0.25">
      <c r="A19" s="1">
        <v>1018</v>
      </c>
      <c r="B19" s="3">
        <v>45703</v>
      </c>
      <c r="C19" s="1" t="s">
        <v>19</v>
      </c>
      <c r="D19" s="1" t="s">
        <v>42</v>
      </c>
      <c r="E19" s="1" t="s">
        <v>21</v>
      </c>
      <c r="F19" s="1" t="s">
        <v>22</v>
      </c>
      <c r="G19" s="1" t="s">
        <v>23</v>
      </c>
      <c r="H19" s="1" t="s">
        <v>17</v>
      </c>
      <c r="I19" s="5">
        <v>3</v>
      </c>
      <c r="J19" s="2">
        <v>69.989999999999995</v>
      </c>
      <c r="K19" s="2">
        <v>30</v>
      </c>
      <c r="L19" s="1" t="s">
        <v>24</v>
      </c>
      <c r="M19" s="2">
        <f t="shared" si="0"/>
        <v>209.96999999999997</v>
      </c>
      <c r="N19" s="2">
        <f t="shared" si="1"/>
        <v>90</v>
      </c>
      <c r="O19" s="2">
        <f t="shared" si="2"/>
        <v>119.96999999999997</v>
      </c>
      <c r="P19" s="2">
        <f t="shared" si="3"/>
        <v>0.57136733819117014</v>
      </c>
    </row>
    <row r="20" spans="1:16" x14ac:dyDescent="0.25">
      <c r="A20" s="1">
        <v>1019</v>
      </c>
      <c r="B20" s="3">
        <v>45708</v>
      </c>
      <c r="C20" s="1" t="s">
        <v>12</v>
      </c>
      <c r="D20" s="1" t="s">
        <v>38</v>
      </c>
      <c r="E20" s="1" t="s">
        <v>14</v>
      </c>
      <c r="F20" s="1" t="s">
        <v>28</v>
      </c>
      <c r="G20" s="1" t="s">
        <v>29</v>
      </c>
      <c r="H20" s="1" t="s">
        <v>17</v>
      </c>
      <c r="I20" s="5">
        <v>4</v>
      </c>
      <c r="J20" s="2">
        <v>19.989999999999998</v>
      </c>
      <c r="K20" s="2">
        <v>5</v>
      </c>
      <c r="L20" s="1" t="s">
        <v>18</v>
      </c>
      <c r="M20" s="2">
        <f t="shared" si="0"/>
        <v>79.959999999999994</v>
      </c>
      <c r="N20" s="2">
        <f t="shared" si="1"/>
        <v>20</v>
      </c>
      <c r="O20" s="2">
        <f t="shared" si="2"/>
        <v>59.959999999999994</v>
      </c>
      <c r="P20" s="2">
        <f t="shared" si="3"/>
        <v>0.74987493746873435</v>
      </c>
    </row>
    <row r="21" spans="1:16" x14ac:dyDescent="0.25">
      <c r="A21" s="1">
        <v>1020</v>
      </c>
      <c r="B21" s="3">
        <v>45713</v>
      </c>
      <c r="C21" s="1" t="s">
        <v>25</v>
      </c>
      <c r="D21" s="1" t="s">
        <v>26</v>
      </c>
      <c r="E21" s="1" t="s">
        <v>21</v>
      </c>
      <c r="F21" s="1" t="s">
        <v>15</v>
      </c>
      <c r="G21" s="1" t="s">
        <v>16</v>
      </c>
      <c r="H21" s="1" t="s">
        <v>17</v>
      </c>
      <c r="I21" s="5">
        <v>1</v>
      </c>
      <c r="J21" s="2">
        <v>69.989999999999995</v>
      </c>
      <c r="K21" s="2">
        <v>30</v>
      </c>
      <c r="L21" s="1" t="s">
        <v>30</v>
      </c>
      <c r="M21" s="2">
        <f t="shared" si="0"/>
        <v>69.989999999999995</v>
      </c>
      <c r="N21" s="2">
        <f t="shared" si="1"/>
        <v>30</v>
      </c>
      <c r="O21" s="2">
        <f t="shared" si="2"/>
        <v>39.989999999999995</v>
      </c>
      <c r="P21" s="2">
        <f t="shared" si="3"/>
        <v>0.57136733819117014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CF58D-FBCD-4457-BB3D-B5A412088703}">
  <dimension ref="A1:J38"/>
  <sheetViews>
    <sheetView workbookViewId="0">
      <selection activeCell="D10" sqref="D10"/>
    </sheetView>
  </sheetViews>
  <sheetFormatPr defaultRowHeight="15" x14ac:dyDescent="0.25"/>
  <cols>
    <col min="1" max="1" width="25" bestFit="1" customWidth="1"/>
    <col min="2" max="3" width="19.85546875" bestFit="1" customWidth="1"/>
    <col min="4" max="4" width="21.85546875" bestFit="1" customWidth="1"/>
    <col min="5" max="5" width="28.5703125" bestFit="1" customWidth="1"/>
    <col min="6" max="6" width="16.140625" bestFit="1" customWidth="1"/>
    <col min="8" max="8" width="45.28515625" bestFit="1" customWidth="1"/>
    <col min="9" max="9" width="21.85546875" bestFit="1" customWidth="1"/>
    <col min="10" max="10" width="14.28515625" bestFit="1" customWidth="1"/>
    <col min="11" max="11" width="25.7109375" bestFit="1" customWidth="1"/>
    <col min="12" max="12" width="16.42578125" bestFit="1" customWidth="1"/>
    <col min="13" max="13" width="39.7109375" bestFit="1" customWidth="1"/>
    <col min="14" max="14" width="21.85546875" bestFit="1" customWidth="1"/>
  </cols>
  <sheetData>
    <row r="1" spans="1:10" x14ac:dyDescent="0.25">
      <c r="A1" s="17" t="s">
        <v>49</v>
      </c>
      <c r="B1" s="8">
        <f>SUM(Dados[Receita])</f>
        <v>2684.1099999999997</v>
      </c>
      <c r="E1" s="18" t="s">
        <v>59</v>
      </c>
      <c r="H1" t="s">
        <v>63</v>
      </c>
    </row>
    <row r="2" spans="1:10" x14ac:dyDescent="0.25">
      <c r="A2" s="18" t="s">
        <v>50</v>
      </c>
      <c r="B2" s="8">
        <f>SUM(Dados[Lucro])</f>
        <v>1683.1100000000001</v>
      </c>
      <c r="E2" s="10" t="s">
        <v>52</v>
      </c>
      <c r="F2" t="s">
        <v>60</v>
      </c>
      <c r="H2" s="10" t="s">
        <v>52</v>
      </c>
      <c r="I2" t="s">
        <v>60</v>
      </c>
    </row>
    <row r="3" spans="1:10" x14ac:dyDescent="0.25">
      <c r="A3" t="s">
        <v>51</v>
      </c>
      <c r="B3" s="9">
        <f>SUM(Dados[Lucro]) / SUM(Dados[Receita])</f>
        <v>0.6270644645711243</v>
      </c>
      <c r="E3" s="1" t="s">
        <v>37</v>
      </c>
      <c r="F3" s="8">
        <v>311.90999999999997</v>
      </c>
      <c r="H3" s="1" t="s">
        <v>19</v>
      </c>
      <c r="I3" s="8">
        <v>480.8</v>
      </c>
    </row>
    <row r="4" spans="1:10" x14ac:dyDescent="0.25">
      <c r="A4" s="18" t="s">
        <v>71</v>
      </c>
      <c r="B4">
        <f>COUNTA(Dados[Order_ID])</f>
        <v>20</v>
      </c>
      <c r="E4" s="1" t="s">
        <v>16</v>
      </c>
      <c r="F4" s="8">
        <v>369.87</v>
      </c>
      <c r="H4" s="1" t="s">
        <v>12</v>
      </c>
      <c r="I4" s="8">
        <v>452.74999999999994</v>
      </c>
    </row>
    <row r="5" spans="1:10" x14ac:dyDescent="0.25">
      <c r="A5" s="18" t="s">
        <v>72</v>
      </c>
      <c r="B5" s="6">
        <f>SUM(Dados[Quantidade])</f>
        <v>89</v>
      </c>
      <c r="E5" s="1" t="s">
        <v>23</v>
      </c>
      <c r="F5" s="8">
        <v>430.87999999999994</v>
      </c>
      <c r="H5" s="1" t="s">
        <v>34</v>
      </c>
      <c r="I5" s="8">
        <v>410.76</v>
      </c>
    </row>
    <row r="6" spans="1:10" x14ac:dyDescent="0.25">
      <c r="E6" s="1" t="s">
        <v>53</v>
      </c>
      <c r="F6" s="8">
        <v>1112.6599999999999</v>
      </c>
      <c r="H6" s="1" t="s">
        <v>25</v>
      </c>
      <c r="I6" s="8">
        <v>338.8</v>
      </c>
    </row>
    <row r="7" spans="1:10" x14ac:dyDescent="0.25">
      <c r="H7" s="1" t="s">
        <v>53</v>
      </c>
      <c r="I7" s="8">
        <v>1683.11</v>
      </c>
    </row>
    <row r="8" spans="1:10" x14ac:dyDescent="0.25">
      <c r="A8" s="10" t="s">
        <v>52</v>
      </c>
      <c r="B8" t="s">
        <v>56</v>
      </c>
      <c r="E8" s="19" t="s">
        <v>61</v>
      </c>
    </row>
    <row r="9" spans="1:10" x14ac:dyDescent="0.25">
      <c r="A9" s="1" t="s">
        <v>54</v>
      </c>
      <c r="B9" s="8">
        <v>1624.4</v>
      </c>
      <c r="E9" s="10" t="s">
        <v>52</v>
      </c>
      <c r="F9" t="s">
        <v>56</v>
      </c>
      <c r="H9" s="18" t="s">
        <v>64</v>
      </c>
    </row>
    <row r="10" spans="1:10" x14ac:dyDescent="0.25">
      <c r="A10" s="1" t="s">
        <v>55</v>
      </c>
      <c r="B10" s="8">
        <v>1059.71</v>
      </c>
      <c r="E10" s="1" t="s">
        <v>22</v>
      </c>
      <c r="F10" s="8">
        <v>829.81999999999994</v>
      </c>
      <c r="H10" s="10" t="s">
        <v>52</v>
      </c>
      <c r="I10" t="s">
        <v>56</v>
      </c>
      <c r="J10" t="s">
        <v>60</v>
      </c>
    </row>
    <row r="11" spans="1:10" x14ac:dyDescent="0.25">
      <c r="A11" s="1" t="s">
        <v>53</v>
      </c>
      <c r="B11" s="8">
        <v>2684.11</v>
      </c>
      <c r="E11" s="1" t="s">
        <v>15</v>
      </c>
      <c r="F11" s="8">
        <v>694.82999999999993</v>
      </c>
      <c r="H11" s="1" t="s">
        <v>12</v>
      </c>
      <c r="I11" s="8">
        <v>719.75</v>
      </c>
      <c r="J11" s="8">
        <v>452.74999999999994</v>
      </c>
    </row>
    <row r="12" spans="1:10" x14ac:dyDescent="0.25">
      <c r="E12" s="1" t="s">
        <v>36</v>
      </c>
      <c r="F12" s="8">
        <v>579.91</v>
      </c>
      <c r="H12" s="1" t="s">
        <v>25</v>
      </c>
      <c r="I12" s="8">
        <v>509.8</v>
      </c>
      <c r="J12" s="8">
        <v>338.8</v>
      </c>
    </row>
    <row r="13" spans="1:10" x14ac:dyDescent="0.25">
      <c r="A13" s="19" t="s">
        <v>58</v>
      </c>
      <c r="E13" s="1" t="s">
        <v>53</v>
      </c>
      <c r="F13" s="8">
        <v>2104.56</v>
      </c>
      <c r="H13" s="1" t="s">
        <v>34</v>
      </c>
      <c r="I13" s="8">
        <v>664.76</v>
      </c>
      <c r="J13" s="8">
        <v>410.76</v>
      </c>
    </row>
    <row r="14" spans="1:10" x14ac:dyDescent="0.25">
      <c r="A14" s="10" t="s">
        <v>52</v>
      </c>
      <c r="B14" t="s">
        <v>57</v>
      </c>
      <c r="H14" s="1" t="s">
        <v>19</v>
      </c>
      <c r="I14" s="8">
        <v>789.8</v>
      </c>
      <c r="J14" s="8">
        <v>480.8</v>
      </c>
    </row>
    <row r="15" spans="1:10" x14ac:dyDescent="0.25">
      <c r="A15" s="1" t="s">
        <v>37</v>
      </c>
      <c r="B15" s="6">
        <v>9</v>
      </c>
      <c r="E15" t="s">
        <v>62</v>
      </c>
      <c r="H15" s="1" t="s">
        <v>53</v>
      </c>
      <c r="I15" s="8">
        <v>2684.1099999999997</v>
      </c>
      <c r="J15" s="8">
        <v>1683.11</v>
      </c>
    </row>
    <row r="16" spans="1:10" x14ac:dyDescent="0.25">
      <c r="A16" s="1" t="s">
        <v>23</v>
      </c>
      <c r="B16" s="6">
        <v>12</v>
      </c>
      <c r="E16" s="10" t="s">
        <v>52</v>
      </c>
      <c r="F16" t="s">
        <v>56</v>
      </c>
    </row>
    <row r="17" spans="1:9" x14ac:dyDescent="0.25">
      <c r="A17" s="1" t="s">
        <v>16</v>
      </c>
      <c r="B17" s="6">
        <v>13</v>
      </c>
      <c r="E17" s="1" t="s">
        <v>19</v>
      </c>
      <c r="F17" s="8">
        <v>789.8</v>
      </c>
      <c r="H17" t="s">
        <v>65</v>
      </c>
    </row>
    <row r="18" spans="1:9" x14ac:dyDescent="0.25">
      <c r="A18" s="1" t="s">
        <v>29</v>
      </c>
      <c r="B18" s="6">
        <v>17</v>
      </c>
      <c r="E18" s="1" t="s">
        <v>12</v>
      </c>
      <c r="F18" s="8">
        <v>719.75</v>
      </c>
      <c r="H18" s="10" t="s">
        <v>52</v>
      </c>
      <c r="I18" t="s">
        <v>56</v>
      </c>
    </row>
    <row r="19" spans="1:9" x14ac:dyDescent="0.25">
      <c r="A19" s="1" t="s">
        <v>41</v>
      </c>
      <c r="B19" s="6">
        <v>28</v>
      </c>
      <c r="E19" s="1" t="s">
        <v>34</v>
      </c>
      <c r="F19" s="8">
        <v>664.76</v>
      </c>
      <c r="H19" s="1" t="s">
        <v>21</v>
      </c>
      <c r="I19" s="8">
        <v>1139.83</v>
      </c>
    </row>
    <row r="20" spans="1:9" x14ac:dyDescent="0.25">
      <c r="A20" s="1" t="s">
        <v>53</v>
      </c>
      <c r="B20" s="6">
        <v>79</v>
      </c>
      <c r="E20" s="1" t="s">
        <v>25</v>
      </c>
      <c r="F20" s="8">
        <v>509.8</v>
      </c>
      <c r="H20" s="1" t="s">
        <v>14</v>
      </c>
      <c r="I20" s="8">
        <v>979.68000000000006</v>
      </c>
    </row>
    <row r="21" spans="1:9" x14ac:dyDescent="0.25">
      <c r="E21" s="1" t="s">
        <v>53</v>
      </c>
      <c r="F21" s="8">
        <v>2684.1099999999997</v>
      </c>
      <c r="H21" s="1" t="s">
        <v>27</v>
      </c>
      <c r="I21" s="8">
        <v>564.59999999999991</v>
      </c>
    </row>
    <row r="22" spans="1:9" x14ac:dyDescent="0.25">
      <c r="H22" s="1" t="s">
        <v>53</v>
      </c>
      <c r="I22" s="8">
        <v>2684.1099999999997</v>
      </c>
    </row>
    <row r="25" spans="1:9" x14ac:dyDescent="0.25">
      <c r="A25" t="s">
        <v>56</v>
      </c>
      <c r="B25" t="s">
        <v>60</v>
      </c>
      <c r="C25" t="s">
        <v>57</v>
      </c>
      <c r="D25" t="s">
        <v>67</v>
      </c>
      <c r="H25" s="18" t="s">
        <v>66</v>
      </c>
    </row>
    <row r="26" spans="1:9" x14ac:dyDescent="0.25">
      <c r="A26" s="8">
        <v>2684.1099999999997</v>
      </c>
      <c r="B26" s="8">
        <v>1683.1100000000001</v>
      </c>
      <c r="C26" s="6">
        <v>89</v>
      </c>
      <c r="D26" s="16">
        <v>20</v>
      </c>
      <c r="H26" s="10" t="s">
        <v>52</v>
      </c>
      <c r="I26" t="s">
        <v>67</v>
      </c>
    </row>
    <row r="27" spans="1:9" x14ac:dyDescent="0.25">
      <c r="H27" s="1" t="s">
        <v>18</v>
      </c>
      <c r="I27">
        <v>12</v>
      </c>
    </row>
    <row r="28" spans="1:9" x14ac:dyDescent="0.25">
      <c r="H28" s="1" t="s">
        <v>24</v>
      </c>
      <c r="I28">
        <v>4</v>
      </c>
    </row>
    <row r="29" spans="1:9" x14ac:dyDescent="0.25">
      <c r="H29" s="1" t="s">
        <v>30</v>
      </c>
      <c r="I29">
        <v>4</v>
      </c>
    </row>
    <row r="30" spans="1:9" x14ac:dyDescent="0.25">
      <c r="H30" s="1" t="s">
        <v>53</v>
      </c>
      <c r="I30">
        <v>20</v>
      </c>
    </row>
    <row r="33" spans="8:9" x14ac:dyDescent="0.25">
      <c r="H33" t="s">
        <v>68</v>
      </c>
    </row>
    <row r="34" spans="8:9" x14ac:dyDescent="0.25">
      <c r="H34" s="10" t="s">
        <v>52</v>
      </c>
      <c r="I34" t="s">
        <v>56</v>
      </c>
    </row>
    <row r="35" spans="8:9" x14ac:dyDescent="0.25">
      <c r="H35" s="1" t="s">
        <v>54</v>
      </c>
      <c r="I35" s="8">
        <v>1624.4</v>
      </c>
    </row>
    <row r="36" spans="8:9" x14ac:dyDescent="0.25">
      <c r="H36" s="1" t="s">
        <v>55</v>
      </c>
      <c r="I36" s="8">
        <v>1059.71</v>
      </c>
    </row>
    <row r="37" spans="8:9" x14ac:dyDescent="0.25">
      <c r="H37" s="1" t="s">
        <v>53</v>
      </c>
      <c r="I37" s="8">
        <v>2684.11</v>
      </c>
    </row>
    <row r="38" spans="8:9" x14ac:dyDescent="0.25">
      <c r="H38" t="s">
        <v>69</v>
      </c>
    </row>
  </sheetData>
  <pageMargins left="0.511811024" right="0.511811024" top="0.78740157499999996" bottom="0.78740157499999996" header="0.31496062000000002" footer="0.31496062000000002"/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0D8F2-D9AF-4125-BB7C-072D8497D8EC}">
  <dimension ref="A1:C7"/>
  <sheetViews>
    <sheetView showGridLines="0" tabSelected="1" workbookViewId="0">
      <selection activeCell="N21" sqref="N21"/>
    </sheetView>
  </sheetViews>
  <sheetFormatPr defaultRowHeight="15" x14ac:dyDescent="0.25"/>
  <cols>
    <col min="1" max="1" width="16.28515625" style="13" customWidth="1"/>
    <col min="2" max="2" width="5.5703125" style="11" customWidth="1"/>
    <col min="3" max="3" width="62.85546875" style="11" customWidth="1"/>
    <col min="4" max="4" width="11.5703125" style="11" customWidth="1"/>
    <col min="5" max="16384" width="9.140625" style="11"/>
  </cols>
  <sheetData>
    <row r="1" spans="1:3" ht="54.75" customHeight="1" x14ac:dyDescent="0.25"/>
    <row r="2" spans="1:3" ht="0.75" customHeight="1" x14ac:dyDescent="0.25"/>
    <row r="3" spans="1:3" ht="27" thickBot="1" x14ac:dyDescent="0.45">
      <c r="B3" s="12"/>
      <c r="C3" s="14" t="s">
        <v>70</v>
      </c>
    </row>
    <row r="4" spans="1:3" ht="15.75" thickTop="1" x14ac:dyDescent="0.25">
      <c r="A4" s="15"/>
    </row>
    <row r="5" spans="1:3" x14ac:dyDescent="0.25">
      <c r="A5" s="15"/>
    </row>
    <row r="6" spans="1:3" x14ac:dyDescent="0.25">
      <c r="A6" s="15"/>
    </row>
    <row r="7" spans="1:3" x14ac:dyDescent="0.25">
      <c r="A7" s="15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D2F78CBC3E5D418923FF93E8758885" ma:contentTypeVersion="5" ma:contentTypeDescription="Create a new document." ma:contentTypeScope="" ma:versionID="efe888cc202194971e28ee7deb76f891">
  <xsd:schema xmlns:xsd="http://www.w3.org/2001/XMLSchema" xmlns:xs="http://www.w3.org/2001/XMLSchema" xmlns:p="http://schemas.microsoft.com/office/2006/metadata/properties" xmlns:ns3="940e4a8e-b303-4d8c-b95d-a5acbffd4e8c" targetNamespace="http://schemas.microsoft.com/office/2006/metadata/properties" ma:root="true" ma:fieldsID="b0f2a7f1cbe88f9ebff52a201a028a47" ns3:_="">
    <xsd:import namespace="940e4a8e-b303-4d8c-b95d-a5acbffd4e8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0e4a8e-b303-4d8c-b95d-a5acbffd4e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1ECFB90-BAA3-4095-899B-53716F54F1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0e4a8e-b303-4d8c-b95d-a5acbffd4e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1FE568-53C4-4199-AE7F-804FA53F8F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5DEDC0-FC68-4932-8B1A-2A07E51F83F0}">
  <ds:schemaRefs>
    <ds:schemaRef ds:uri="http://purl.org/dc/dcmitype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purl.org/dc/elements/1.1/"/>
    <ds:schemaRef ds:uri="940e4a8e-b303-4d8c-b95d-a5acbffd4e8c"/>
    <ds:schemaRef ds:uri="http://schemas.microsoft.com/office/2006/documentManagement/types"/>
    <ds:schemaRef ds:uri="http://purl.org/dc/terms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Base</vt:lpstr>
      <vt:lpstr>Cálculos</vt:lpstr>
      <vt:lpstr>Dashboard</vt:lpstr>
      <vt:lpstr>Base</vt:lpstr>
      <vt:lpstr>BaseVendas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DA SILVA MARINHO</dc:creator>
  <cp:lastModifiedBy>LUCAS DA SILVA MARINHO</cp:lastModifiedBy>
  <dcterms:created xsi:type="dcterms:W3CDTF">2026-02-23T15:24:45Z</dcterms:created>
  <dcterms:modified xsi:type="dcterms:W3CDTF">2026-02-24T21:04:54Z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2026-02-23T20:55:23Z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38ae2f02-5710-4e12-80bb-83600c3fdf1e</vt:lpwstr>
  </property>
  <property fmtid="{D5CDD505-2E9C-101B-9397-08002B2CF9AE}" pid="7" name="MSIP_Label_defa4170-0d19-0005-0004-bc88714345d2_ActionId">
    <vt:lpwstr>7e9af94c-c575-4114-95f2-8b7580008221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0x01010043D2F78CBC3E5D418923FF93E8758885</vt:lpwstr>
  </property>
</Properties>
</file>